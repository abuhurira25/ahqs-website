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Settings" sheetId="2" state="visible" r:id="rId2"/>
    <sheet xmlns:r="http://schemas.openxmlformats.org/officeDocument/2006/relationships" name="Document Register" sheetId="3" state="visible" r:id="rId3"/>
    <sheet xmlns:r="http://schemas.openxmlformats.org/officeDocument/2006/relationships" name="Dashboard" sheetId="4" state="visible" r:id="rId4"/>
  </sheets>
  <definedNames>
    <definedName name="_xlnm._FilterDatabase" localSheetId="2" hidden="1">'Document Register'!$A$1:$O$41</definedName>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Calibri"/>
      <charset val="1"/>
      <family val="0"/>
      <b val="1"/>
      <color rgb="FF071F3B"/>
      <sz val="22"/>
    </font>
    <font>
      <name val="Calibri"/>
      <charset val="1"/>
      <family val="0"/>
      <i val="1"/>
      <color rgb="FF087F83"/>
      <sz val="11"/>
    </font>
    <font>
      <name val="Calibri"/>
      <charset val="1"/>
      <family val="0"/>
      <color rgb="FF667789"/>
      <sz val="11"/>
    </font>
    <font>
      <name val="Calibri"/>
      <charset val="1"/>
      <family val="0"/>
      <b val="1"/>
      <color rgb="FF071F3B"/>
      <sz val="13"/>
    </font>
    <font>
      <name val="Calibri"/>
      <charset val="1"/>
      <family val="0"/>
      <color rgb="FF173047"/>
      <sz val="10"/>
    </font>
    <font>
      <name val="Calibri"/>
      <charset val="1"/>
      <family val="0"/>
      <i val="1"/>
      <color rgb="FF667789"/>
      <sz val="9"/>
    </font>
    <font>
      <name val="Calibri"/>
      <charset val="1"/>
      <family val="0"/>
      <color rgb="FF667789"/>
      <sz val="9"/>
    </font>
    <font>
      <name val="Calibri"/>
      <charset val="1"/>
      <family val="0"/>
      <b val="1"/>
      <color rgb="FFFFFFFF"/>
      <sz val="11"/>
    </font>
    <font>
      <name val="Calibri"/>
      <charset val="1"/>
      <family val="0"/>
      <b val="1"/>
      <color rgb="FF173047"/>
      <sz val="10"/>
    </font>
    <font>
      <name val="Calibri"/>
      <charset val="1"/>
      <family val="0"/>
      <b val="1"/>
      <color rgb="FF071F3B"/>
      <sz val="18"/>
    </font>
    <font>
      <name val="Calibri"/>
      <charset val="1"/>
      <family val="0"/>
      <b val="1"/>
      <color rgb="FFD4E2EB"/>
      <sz val="9"/>
    </font>
    <font>
      <name val="Calibri"/>
      <charset val="1"/>
      <family val="0"/>
      <b val="1"/>
      <color rgb="FFF0CB67"/>
      <sz val="22"/>
    </font>
    <font>
      <name val="Calibri"/>
      <family val="2"/>
      <b val="1"/>
      <color rgb="FF000000"/>
      <sz val="18"/>
    </font>
    <font>
      <name val="Calibri"/>
      <family val="2"/>
      <color rgb="FF000000"/>
      <sz val="10"/>
    </font>
    <font>
      <name val="Calibri"/>
      <family val="2"/>
      <b val="1"/>
      <color rgb="FF000000"/>
      <sz val="10"/>
    </font>
  </fonts>
  <fills count="5">
    <fill>
      <patternFill/>
    </fill>
    <fill>
      <patternFill patternType="gray125"/>
    </fill>
    <fill>
      <patternFill patternType="solid">
        <fgColor rgb="FF071F3B"/>
        <bgColor rgb="FF173047"/>
      </patternFill>
    </fill>
    <fill>
      <patternFill patternType="solid">
        <fgColor rgb="FF087F83"/>
        <bgColor rgb="FF0066CC"/>
      </patternFill>
    </fill>
    <fill>
      <patternFill patternType="solid">
        <fgColor rgb="FFEAF7F7"/>
        <bgColor rgb="FFFFFFFF"/>
      </patternFill>
    </fill>
  </fills>
  <borders count="3">
    <border>
      <left/>
      <right/>
      <top/>
      <bottom/>
      <diagonal/>
    </border>
    <border>
      <left/>
      <right/>
      <top/>
      <bottom style="medium">
        <color rgb="FFD8A72B"/>
      </bottom>
      <diagonal/>
    </border>
    <border>
      <left style="thin">
        <color rgb="FFDCE6EB"/>
      </left>
      <right style="thin">
        <color rgb="FFDCE6EB"/>
      </right>
      <top style="thin">
        <color rgb="FFDCE6EB"/>
      </top>
      <bottom style="thin">
        <color rgb="FFDCE6E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2" borderId="0" applyAlignment="1" pivotButton="0" quotePrefix="0" xfId="0">
      <alignment horizontal="center" vertical="center"/>
    </xf>
    <xf numFmtId="0" fontId="7" fillId="0"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2" borderId="0" applyAlignment="1" pivotButton="0" quotePrefix="0" xfId="0">
      <alignment horizontal="center" vertical="center"/>
    </xf>
    <xf numFmtId="0" fontId="7" fillId="0"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6B6B"/>
          <bgColor rgb="FF000000"/>
        </patternFill>
      </fill>
    </dxf>
    <dxf>
      <fill>
        <patternFill patternType="solid">
          <fgColor rgb="FFFFE066"/>
          <bgColor rgb="FF000000"/>
        </patternFill>
      </fill>
    </dxf>
    <dxf>
      <fill>
        <patternFill patternType="solid">
          <fgColor rgb="FFEAF7F7"/>
          <bgColor rgb="FF000000"/>
        </patternFill>
      </fill>
    </dxf>
    <dxf>
      <font>
        <b val="1"/>
        <color rgb="FFFFFFFF"/>
      </font>
      <fill>
        <patternFill>
          <bgColor rgb="FFFF6B6B"/>
        </patternFill>
      </fill>
    </dxf>
    <dxf>
      <fill>
        <patternFill>
          <bgColor rgb="FFFFE0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67789"/>
      <rgbColor rgb="FF800080"/>
      <rgbColor rgb="FF087F83"/>
      <rgbColor rgb="FFC0C0C0"/>
      <rgbColor rgb="FF878787"/>
      <rgbColor rgb="FF93A9CE"/>
      <rgbColor rgb="FFAB4744"/>
      <rgbColor rgb="FFFFFFCC"/>
      <rgbColor rgb="FFEAF7F7"/>
      <rgbColor rgb="FF660066"/>
      <rgbColor rgb="FFFF6B6B"/>
      <rgbColor rgb="FF0066CC"/>
      <rgbColor rgb="FFD9D9D9"/>
      <rgbColor rgb="FF000080"/>
      <rgbColor rgb="FFFF00FF"/>
      <rgbColor rgb="FFFFFF00"/>
      <rgbColor rgb="FF00FFFF"/>
      <rgbColor rgb="FF800080"/>
      <rgbColor rgb="FF800000"/>
      <rgbColor rgb="FF4F81BD"/>
      <rgbColor rgb="FF0000FF"/>
      <rgbColor rgb="FF00CCFF"/>
      <rgbColor rgb="FFDCE6EB"/>
      <rgbColor rgb="FFD4E2EB"/>
      <rgbColor rgb="FFFFE066"/>
      <rgbColor rgb="FF99CCFF"/>
      <rgbColor rgb="FFFF99CC"/>
      <rgbColor rgb="FFCC99FF"/>
      <rgbColor rgb="FFF0CB67"/>
      <rgbColor rgb="FF4672A8"/>
      <rgbColor rgb="FF33CCCC"/>
      <rgbColor rgb="FF99CC00"/>
      <rgbColor rgb="FFFFCC00"/>
      <rgbColor rgb="FFD8A72B"/>
      <rgbColor rgb="FFDC853E"/>
      <rgbColor rgb="FF725990"/>
      <rgbColor rgb="FF8AA64F"/>
      <rgbColor rgb="FF173047"/>
      <rgbColor rgb="FF4299B0"/>
      <rgbColor rgb="FF071F3B"/>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Documents by Type</a:t>
            </a:r>
          </a:p>
        </rich>
      </tx>
      <overlay val="0"/>
      <spPr>
        <a:noFill xmlns:a="http://schemas.openxmlformats.org/drawingml/2006/main"/>
        <a:ln xmlns:a="http://schemas.openxmlformats.org/drawingml/2006/main" w="0">
          <a:noFill/>
          <a:prstDash val="solid"/>
        </a:ln>
      </spPr>
    </title>
    <plotArea>
      <pieChart>
        <varyColors val="1"/>
        <ser>
          <idx val="0"/>
          <order val="0"/>
          <tx>
            <strRef>
              <f>Dashboard!C10</f>
              <strCache>
                <ptCount val="1"/>
                <pt idx="0">
                  <v>Count</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672A8"/>
              </a:solidFill>
              <a:ln xmlns:a="http://schemas.openxmlformats.org/drawingml/2006/main" w="12600">
                <a:noFill/>
                <a:prstDash val="solid"/>
              </a:ln>
            </spPr>
          </dPt>
          <dPt>
            <idx val="1"/>
            <spPr>
              <a:solidFill xmlns:a="http://schemas.openxmlformats.org/drawingml/2006/main">
                <a:srgbClr val="AB4744"/>
              </a:solidFill>
              <a:ln xmlns:a="http://schemas.openxmlformats.org/drawingml/2006/main" w="12600">
                <a:noFill/>
                <a:prstDash val="solid"/>
              </a:ln>
            </spPr>
          </dPt>
          <dPt>
            <idx val="2"/>
            <spPr>
              <a:solidFill xmlns:a="http://schemas.openxmlformats.org/drawingml/2006/main">
                <a:srgbClr val="8AA64F"/>
              </a:solidFill>
              <a:ln xmlns:a="http://schemas.openxmlformats.org/drawingml/2006/main" w="12600">
                <a:noFill/>
                <a:prstDash val="solid"/>
              </a:ln>
            </spPr>
          </dPt>
          <dPt>
            <idx val="3"/>
            <spPr>
              <a:solidFill xmlns:a="http://schemas.openxmlformats.org/drawingml/2006/main">
                <a:srgbClr val="725990"/>
              </a:solidFill>
              <a:ln xmlns:a="http://schemas.openxmlformats.org/drawingml/2006/main" w="12600">
                <a:noFill/>
                <a:prstDash val="solid"/>
              </a:ln>
            </spPr>
          </dPt>
          <dPt>
            <idx val="4"/>
            <spPr>
              <a:solidFill xmlns:a="http://schemas.openxmlformats.org/drawingml/2006/main">
                <a:srgbClr val="4299B0"/>
              </a:solidFill>
              <a:ln xmlns:a="http://schemas.openxmlformats.org/drawingml/2006/main" w="12600">
                <a:noFill/>
                <a:prstDash val="solid"/>
              </a:ln>
            </spPr>
          </dPt>
          <dPt>
            <idx val="5"/>
            <spPr>
              <a:solidFill xmlns:a="http://schemas.openxmlformats.org/drawingml/2006/main">
                <a:srgbClr val="DC853E"/>
              </a:solidFill>
              <a:ln xmlns:a="http://schemas.openxmlformats.org/drawingml/2006/main" w="12600">
                <a:noFill/>
                <a:prstDash val="solid"/>
              </a:ln>
            </spPr>
          </dPt>
          <dPt>
            <idx val="6"/>
            <spPr>
              <a:solidFill xmlns:a="http://schemas.openxmlformats.org/drawingml/2006/main">
                <a:srgbClr val="93A9CE"/>
              </a:solidFill>
              <a:ln xmlns:a="http://schemas.openxmlformats.org/drawingml/2006/main" w="1260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4"/>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5"/>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6"/>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showLeaderLines val="1"/>
          </dLbls>
          <cat>
            <strRef>
              <f>Dashboard!$B$11:$B$17</f>
              <strCache>
                <ptCount val="7"/>
                <pt idx="0">
                  <v>SOP</v>
                </pt>
                <pt idx="1">
                  <v>Policy</v>
                </pt>
                <pt idx="2">
                  <v>Form</v>
                </pt>
                <pt idx="3">
                  <v>Manual</v>
                </pt>
                <pt idx="4">
                  <v>Guideline</v>
                </pt>
                <pt idx="5">
                  <v>Work Instruction</v>
                </pt>
                <pt idx="6">
                  <v>Record</v>
                </pt>
              </strCache>
            </strRef>
          </cat>
          <val>
            <numRef>
              <f>Dashboard!$C$11:$C$17</f>
              <numCache>
                <formatCode>General</formatCode>
                <ptCount val="7"/>
                <pt idx="0">
                  <v>4</v>
                </pt>
                <pt idx="1">
                  <v>1</v>
                </pt>
                <pt idx="2">
                  <v>3</v>
                </pt>
                <pt idx="3">
                  <v>2</v>
                </pt>
                <pt idx="4">
                  <v>0</v>
                </pt>
                <pt idx="5">
                  <v>0</v>
                </pt>
                <pt idx="6">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Documents by Status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Dashboard!C23</f>
              <strCache>
                <ptCount val="1"/>
                <pt idx="0">
                  <v>Count</v>
                </pt>
              </strCache>
            </strRef>
          </tx>
          <spPr>
            <a:solidFill xmlns:a="http://schemas.openxmlformats.org/drawingml/2006/main">
              <a:srgbClr val="4F81BD"/>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Dashboard!$B$24:$B$29</f>
              <strCache>
                <ptCount val="6"/>
                <pt idx="0">
                  <v>Draft</v>
                </pt>
                <pt idx="1">
                  <v>Under Review</v>
                </pt>
                <pt idx="2">
                  <v>Approved</v>
                </pt>
                <pt idx="3">
                  <v>Active</v>
                </pt>
                <pt idx="4">
                  <v>Superseded</v>
                </pt>
                <pt idx="5">
                  <v>Archived</v>
                </pt>
              </strCache>
            </strRef>
          </cat>
          <val>
            <numRef>
              <f>Dashboard!$C$24:$C$29</f>
              <numCache>
                <formatCode>General</formatCode>
                <ptCount val="6"/>
                <pt idx="0">
                  <v>1</v>
                </pt>
                <pt idx="1">
                  <v>1</v>
                </pt>
                <pt idx="2">
                  <v>0</v>
                </pt>
                <pt idx="3">
                  <v>8</v>
                </pt>
                <pt idx="4">
                  <v>0</v>
                </pt>
                <pt idx="5">
                  <v>0</v>
                </pt>
              </numCache>
            </numRef>
          </val>
        </ser>
        <gapWidth val="150"/>
        <overlap val="0"/>
        <axId val="30883715"/>
        <axId val="6926623"/>
      </barChart>
      <catAx>
        <axId val="30883715"/>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6926623"/>
        <crosses val="autoZero"/>
        <auto val="1"/>
        <lblAlgn val="ctr"/>
        <lblOffset val="100"/>
        <noMultiLvlLbl val="0"/>
      </catAx>
      <valAx>
        <axId val="692662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Count</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30883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editAs="oneCell">
    <from>
      <col>1</col>
      <colOff>0</colOff>
      <row>1</row>
      <rowOff>0</rowOff>
    </from>
    <to>
      <col>1</col>
      <colOff>1095120</colOff>
      <row>4</row>
      <rowOff>94680</rowOff>
    </to>
    <pic>
      <nvPicPr>
        <cNvPr id="1"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095120" cy="66636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4</col>
      <colOff>0</colOff>
      <row>8</row>
      <rowOff>0</rowOff>
    </from>
    <to>
      <col>8</col>
      <colOff>372600</colOff>
      <row>21</row>
      <rowOff>288720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4</col>
      <colOff>0</colOff>
      <row>21</row>
      <rowOff>0</rowOff>
    </from>
    <to>
      <col>9</col>
      <colOff>105840</colOff>
      <row>35</row>
      <rowOff>98280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filterMode="0">
    <outlinePr summaryBelow="1" summaryRight="1"/>
    <pageSetUpPr fitToPage="1"/>
  </sheetPr>
  <dimension ref="B9:C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0" min="1" max="1"/>
    <col width="55" customWidth="1" style="20" min="2" max="2"/>
    <col width="3" customWidth="1" style="20" min="3" max="3"/>
  </cols>
  <sheetData>
    <row r="9" ht="26.8" customHeight="1" s="21">
      <c r="B9" s="22" t="inlineStr">
        <is>
          <t>Document Control Register</t>
        </is>
      </c>
    </row>
    <row r="10" ht="15" customHeight="1" s="21">
      <c r="B10" s="23" t="inlineStr">
        <is>
          <t>AHQS — Accelerate Healthcare Quality Solutions</t>
        </is>
      </c>
    </row>
    <row r="12" ht="15" customHeight="1" s="21">
      <c r="B12" s="24" t="n"/>
      <c r="C12" s="24" t="n"/>
    </row>
    <row r="13" ht="49.5" customHeight="1" s="21">
      <c r="B13" s="25" t="inlineStr">
        <is>
          <t>A comprehensive document management tool with version control, review tracking, approval workflow, distribution lists, and a status dashboard with charts.</t>
        </is>
      </c>
    </row>
    <row r="15" ht="16.15" customHeight="1" s="21">
      <c r="B15" s="26" t="inlineStr">
        <is>
          <t>Key Features</t>
        </is>
      </c>
    </row>
    <row r="16" ht="15" customHeight="1" s="21">
      <c r="B16" s="27" t="inlineStr">
        <is>
          <t xml:space="preserve">  •  Document version control with review cycle tracking</t>
        </is>
      </c>
    </row>
    <row r="17" ht="15" customHeight="1" s="21">
      <c r="B17" s="27" t="inlineStr">
        <is>
          <t xml:space="preserve">  •  Auto-calculated overdue review flags</t>
        </is>
      </c>
    </row>
    <row r="18" ht="15" customHeight="1" s="21">
      <c r="B18" s="27" t="inlineStr">
        <is>
          <t xml:space="preserve">  •  Document type and status breakdown</t>
        </is>
      </c>
    </row>
    <row r="19" ht="15" customHeight="1" s="21">
      <c r="B19" s="27" t="inlineStr">
        <is>
          <t xml:space="preserve">  •  Distribution list tracking</t>
        </is>
      </c>
    </row>
    <row r="20" ht="15" customHeight="1" s="21">
      <c r="B20" s="27" t="inlineStr">
        <is>
          <t xml:space="preserve">  •  Review calendar with upcoming deadlines</t>
        </is>
      </c>
    </row>
    <row r="21" ht="15" customHeight="1" s="21">
      <c r="B21" s="27" t="inlineStr">
        <is>
          <t xml:space="preserve">  •  Dashboard with charts and KPIs</t>
        </is>
      </c>
    </row>
    <row r="23" ht="16.15" customHeight="1" s="21">
      <c r="B23" s="26" t="inlineStr">
        <is>
          <t>How to Use</t>
        </is>
      </c>
    </row>
    <row r="24" ht="15" customHeight="1" s="21">
      <c r="B24" s="27" t="inlineStr">
        <is>
          <t>1.  Start with the Data Entry sheet — fill in yellow-shaded input cells only</t>
        </is>
      </c>
    </row>
    <row r="25" ht="15" customHeight="1" s="21">
      <c r="B25" s="27" t="inlineStr">
        <is>
          <t>2.  Blue-shaded cells contain formulas — do not overwrite them</t>
        </is>
      </c>
    </row>
    <row r="26" ht="15" customHeight="1" s="21">
      <c r="B26" s="27" t="inlineStr">
        <is>
          <t>3.  Use dropdown menus for standardized entries</t>
        </is>
      </c>
    </row>
    <row r="27" ht="15" customHeight="1" s="21">
      <c r="B27" s="27" t="inlineStr">
        <is>
          <t>4.  Check the Dashboard sheet for auto-calculated metrics and charts</t>
        </is>
      </c>
    </row>
    <row r="28" ht="15" customHeight="1" s="21">
      <c r="B28" s="27" t="inlineStr">
        <is>
          <t>5.  Save a copy for each audit cycle or reporting period</t>
        </is>
      </c>
    </row>
    <row r="29" ht="15" customHeight="1" s="21">
      <c r="B29" s="27" t="inlineStr">
        <is>
          <t>6.  This tool is free to use for internal quality improvement</t>
        </is>
      </c>
    </row>
    <row r="31" ht="16.15" customHeight="1" s="21">
      <c r="B31" s="26" t="inlineStr">
        <is>
          <t>Disclaimer &amp; License</t>
        </is>
      </c>
    </row>
    <row r="32" ht="64.5" customHeight="1" s="21">
      <c r="B32" s="28" t="inlineStr">
        <is>
          <t>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is>
      </c>
    </row>
    <row r="34" ht="15" customHeight="1" s="21">
      <c r="B34" s="29" t="inlineStr">
        <is>
          <t>Tool ID: AHQS-DOC-002  |  Version: 2.0  |  Created: October 2026  |  AHQS Healthcare Quality Solutions</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C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5" customWidth="1" style="20" min="1" max="3"/>
  </cols>
  <sheetData>
    <row r="1" ht="15" customHeight="1" s="21">
      <c r="A1" s="30" t="inlineStr">
        <is>
          <t>Doc_Types</t>
        </is>
      </c>
      <c r="B1" s="30" t="inlineStr">
        <is>
          <t>Doc_Status</t>
        </is>
      </c>
      <c r="C1" s="30" t="inlineStr">
        <is>
          <t>Departments</t>
        </is>
      </c>
    </row>
    <row r="2" ht="15" customHeight="1" s="21">
      <c r="A2" s="31" t="inlineStr">
        <is>
          <t>SOP</t>
        </is>
      </c>
      <c r="B2" s="31" t="inlineStr">
        <is>
          <t>Draft</t>
        </is>
      </c>
      <c r="C2" s="31" t="inlineStr">
        <is>
          <t>Laboratory</t>
        </is>
      </c>
    </row>
    <row r="3" ht="15" customHeight="1" s="21">
      <c r="A3" s="31" t="inlineStr">
        <is>
          <t>Policy</t>
        </is>
      </c>
      <c r="B3" s="31" t="inlineStr">
        <is>
          <t>Under Review</t>
        </is>
      </c>
      <c r="C3" s="31" t="inlineStr">
        <is>
          <t>Quality</t>
        </is>
      </c>
    </row>
    <row r="4" ht="15" customHeight="1" s="21">
      <c r="A4" s="31" t="inlineStr">
        <is>
          <t>Form</t>
        </is>
      </c>
      <c r="B4" s="31" t="inlineStr">
        <is>
          <t>Approved</t>
        </is>
      </c>
      <c r="C4" s="31" t="inlineStr">
        <is>
          <t>Safety</t>
        </is>
      </c>
    </row>
    <row r="5" ht="15" customHeight="1" s="21">
      <c r="A5" s="31" t="inlineStr">
        <is>
          <t>Manual</t>
        </is>
      </c>
      <c r="B5" s="31" t="inlineStr">
        <is>
          <t>Active</t>
        </is>
      </c>
      <c r="C5" s="31" t="inlineStr">
        <is>
          <t>Administration</t>
        </is>
      </c>
    </row>
    <row r="6" ht="15" customHeight="1" s="21">
      <c r="A6" s="31" t="inlineStr">
        <is>
          <t>Guideline</t>
        </is>
      </c>
      <c r="B6" s="31" t="inlineStr">
        <is>
          <t>Superseded</t>
        </is>
      </c>
      <c r="C6" s="31" t="inlineStr">
        <is>
          <t>IT</t>
        </is>
      </c>
    </row>
    <row r="7" ht="15" customHeight="1" s="21">
      <c r="A7" s="31" t="inlineStr">
        <is>
          <t>Work Instruction</t>
        </is>
      </c>
      <c r="B7" s="31" t="inlineStr">
        <is>
          <t>Archived</t>
        </is>
      </c>
      <c r="C7" s="31" t="inlineStr">
        <is>
          <t>HR</t>
        </is>
      </c>
    </row>
    <row r="8" ht="15" customHeight="1" s="21">
      <c r="A8" s="31" t="inlineStr">
        <is>
          <t>Record</t>
        </is>
      </c>
      <c r="C8" s="31" t="inlineStr">
        <is>
          <t>All</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O4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 customWidth="1" style="20" min="1" max="1"/>
    <col width="10" customWidth="1" style="20" min="2" max="2"/>
    <col width="30" customWidth="1" style="20" min="3" max="3"/>
    <col width="10" customWidth="1" style="20" min="4" max="4"/>
    <col width="8" customWidth="1" style="20" min="5" max="5"/>
    <col width="12" customWidth="1" style="20" min="6" max="6"/>
    <col width="14" customWidth="1" style="20" min="7" max="8"/>
    <col width="12" customWidth="1" style="20" min="9" max="11"/>
    <col width="18" customWidth="1" style="20" min="12" max="12"/>
    <col width="22" customWidth="1" style="20" min="13" max="13"/>
    <col width="12" customWidth="1" style="20" min="14" max="15"/>
  </cols>
  <sheetData>
    <row r="1" ht="39.75" customHeight="1" s="21">
      <c r="A1" s="32" t="inlineStr">
        <is>
          <t>#</t>
        </is>
      </c>
      <c r="B1" s="32" t="inlineStr">
        <is>
          <t>Doc ID</t>
        </is>
      </c>
      <c r="C1" s="32" t="inlineStr">
        <is>
          <t>Document Title</t>
        </is>
      </c>
      <c r="D1" s="32" t="inlineStr">
        <is>
          <t>Type</t>
        </is>
      </c>
      <c r="E1" s="32" t="inlineStr">
        <is>
          <t>Version</t>
        </is>
      </c>
      <c r="F1" s="32" t="inlineStr">
        <is>
          <t>Status</t>
        </is>
      </c>
      <c r="G1" s="32" t="inlineStr">
        <is>
          <t>Author</t>
        </is>
      </c>
      <c r="H1" s="32" t="inlineStr">
        <is>
          <t>Approved By</t>
        </is>
      </c>
      <c r="I1" s="32" t="inlineStr">
        <is>
          <t>Effective Date</t>
        </is>
      </c>
      <c r="J1" s="32" t="inlineStr">
        <is>
          <t>Next Review</t>
        </is>
      </c>
      <c r="K1" s="32" t="inlineStr">
        <is>
          <t>Department</t>
        </is>
      </c>
      <c r="L1" s="32" t="inlineStr">
        <is>
          <t>Distribution</t>
        </is>
      </c>
      <c r="M1" s="32" t="inlineStr">
        <is>
          <t>Location/Link</t>
        </is>
      </c>
      <c r="N1" s="32" t="inlineStr">
        <is>
          <t>Review Status</t>
        </is>
      </c>
      <c r="O1" s="32" t="inlineStr">
        <is>
          <t>Days to Review</t>
        </is>
      </c>
    </row>
    <row r="2" ht="15" customHeight="1" s="21">
      <c r="A2" s="33" t="n">
        <v>1</v>
      </c>
      <c r="B2" s="34" t="inlineStr">
        <is>
          <t>DOC-001</t>
        </is>
      </c>
      <c r="C2" s="35" t="inlineStr">
        <is>
          <t>Sample Receipt and Accessioning SOP</t>
        </is>
      </c>
      <c r="D2" s="33" t="inlineStr">
        <is>
          <t>SOP</t>
        </is>
      </c>
      <c r="E2" s="33" t="inlineStr">
        <is>
          <t>3.1</t>
        </is>
      </c>
      <c r="F2" s="33" t="inlineStr">
        <is>
          <t>Active</t>
        </is>
      </c>
      <c r="G2" s="35" t="inlineStr">
        <is>
          <t>Lab Tech</t>
        </is>
      </c>
      <c r="H2" s="35" t="inlineStr">
        <is>
          <t>Lab Manager</t>
        </is>
      </c>
      <c r="I2" s="33" t="inlineStr">
        <is>
          <t>2026-01-01</t>
        </is>
      </c>
      <c r="J2" s="33" t="inlineStr">
        <is>
          <t>2027-01-01</t>
        </is>
      </c>
      <c r="K2" s="33" t="inlineStr">
        <is>
          <t>Laboratory</t>
        </is>
      </c>
      <c r="L2" s="35" t="inlineStr">
        <is>
          <t>All lab staff</t>
        </is>
      </c>
      <c r="M2" s="35" t="inlineStr">
        <is>
          <t>Shared Drive / SOP-001</t>
        </is>
      </c>
      <c r="N2" s="34">
        <f>IF(J2="","",IF(TODAY()&gt;DATEVALUE(J2),"OVERDUE",IF(DATEVALUE(J2)-TODAY()&lt;=30,"DUE SOON","OK")))</f>
        <v/>
      </c>
      <c r="O2" s="36">
        <f>IF(J2="","",IF(TODAY()&gt;DATEVALUE(J2),TODAY()-DATEVALUE(J2),DATEVALUE(J2)-TODAY()))</f>
        <v/>
      </c>
    </row>
    <row r="3" ht="15" customHeight="1" s="21">
      <c r="A3" s="33" t="n">
        <v>2</v>
      </c>
      <c r="B3" s="34" t="inlineStr">
        <is>
          <t>DOC-002</t>
        </is>
      </c>
      <c r="C3" s="35" t="inlineStr">
        <is>
          <t>Critical Value Notification Policy</t>
        </is>
      </c>
      <c r="D3" s="33" t="inlineStr">
        <is>
          <t>Policy</t>
        </is>
      </c>
      <c r="E3" s="33" t="inlineStr">
        <is>
          <t>2.0</t>
        </is>
      </c>
      <c r="F3" s="33" t="inlineStr">
        <is>
          <t>Active</t>
        </is>
      </c>
      <c r="G3" s="35" t="inlineStr">
        <is>
          <t>Quality Officer</t>
        </is>
      </c>
      <c r="H3" s="35" t="inlineStr">
        <is>
          <t>Medical Director</t>
        </is>
      </c>
      <c r="I3" s="33" t="inlineStr">
        <is>
          <t>2026-01-15</t>
        </is>
      </c>
      <c r="J3" s="33" t="inlineStr">
        <is>
          <t>2027-01-15</t>
        </is>
      </c>
      <c r="K3" s="33" t="inlineStr">
        <is>
          <t>Quality</t>
        </is>
      </c>
      <c r="L3" s="35" t="inlineStr">
        <is>
          <t>All staff</t>
        </is>
      </c>
      <c r="M3" s="35" t="inlineStr">
        <is>
          <t>Shared Drive / POL-002</t>
        </is>
      </c>
      <c r="N3" s="34">
        <f>IF(J3="","",IF(TODAY()&gt;DATEVALUE(J3),"OVERDUE",IF(DATEVALUE(J3)-TODAY()&lt;=30,"DUE SOON","OK")))</f>
        <v/>
      </c>
      <c r="O3" s="36">
        <f>IF(J3="","",IF(TODAY()&gt;DATEVALUE(J3),TODAY()-DATEVALUE(J3),DATEVALUE(J3)-TODAY()))</f>
        <v/>
      </c>
    </row>
    <row r="4" ht="15" customHeight="1" s="21">
      <c r="A4" s="33" t="n">
        <v>3</v>
      </c>
      <c r="B4" s="34" t="inlineStr">
        <is>
          <t>DOC-003</t>
        </is>
      </c>
      <c r="C4" s="35" t="inlineStr">
        <is>
          <t>Equipment Calibration Record Form</t>
        </is>
      </c>
      <c r="D4" s="33" t="inlineStr">
        <is>
          <t>Form</t>
        </is>
      </c>
      <c r="E4" s="33" t="inlineStr">
        <is>
          <t>1.5</t>
        </is>
      </c>
      <c r="F4" s="33" t="inlineStr">
        <is>
          <t>Active</t>
        </is>
      </c>
      <c r="G4" s="35" t="inlineStr">
        <is>
          <t>Lab Manager</t>
        </is>
      </c>
      <c r="H4" s="35" t="inlineStr">
        <is>
          <t>Quality Manager</t>
        </is>
      </c>
      <c r="I4" s="33" t="inlineStr">
        <is>
          <t>2026-02-01</t>
        </is>
      </c>
      <c r="J4" s="33" t="inlineStr">
        <is>
          <t>2026-11-01</t>
        </is>
      </c>
      <c r="K4" s="33" t="inlineStr">
        <is>
          <t>Laboratory</t>
        </is>
      </c>
      <c r="L4" s="35" t="inlineStr">
        <is>
          <t>Lab staff</t>
        </is>
      </c>
      <c r="M4" s="35" t="inlineStr">
        <is>
          <t>Shared Drive / FRM-003</t>
        </is>
      </c>
      <c r="N4" s="34">
        <f>IF(J4="","",IF(TODAY()&gt;DATEVALUE(J4),"OVERDUE",IF(DATEVALUE(J4)-TODAY()&lt;=30,"DUE SOON","OK")))</f>
        <v/>
      </c>
      <c r="O4" s="36">
        <f>IF(J4="","",IF(TODAY()&gt;DATEVALUE(J4),TODAY()-DATEVALUE(J4),DATEVALUE(J4)-TODAY()))</f>
        <v/>
      </c>
    </row>
    <row r="5" ht="15" customHeight="1" s="21">
      <c r="A5" s="33" t="n">
        <v>4</v>
      </c>
      <c r="B5" s="34" t="inlineStr">
        <is>
          <t>DOC-004</t>
        </is>
      </c>
      <c r="C5" s="35" t="inlineStr">
        <is>
          <t>Laboratory Safety Manual</t>
        </is>
      </c>
      <c r="D5" s="33" t="inlineStr">
        <is>
          <t>Manual</t>
        </is>
      </c>
      <c r="E5" s="33" t="inlineStr">
        <is>
          <t>4.0</t>
        </is>
      </c>
      <c r="F5" s="33" t="inlineStr">
        <is>
          <t>Active</t>
        </is>
      </c>
      <c r="G5" s="35" t="inlineStr">
        <is>
          <t>Safety Officer</t>
        </is>
      </c>
      <c r="H5" s="35" t="inlineStr">
        <is>
          <t>Lab Director</t>
        </is>
      </c>
      <c r="I5" s="33" t="inlineStr">
        <is>
          <t>2026-01-01</t>
        </is>
      </c>
      <c r="J5" s="33" t="inlineStr">
        <is>
          <t>2027-01-01</t>
        </is>
      </c>
      <c r="K5" s="33" t="inlineStr">
        <is>
          <t>Safety</t>
        </is>
      </c>
      <c r="L5" s="35" t="inlineStr">
        <is>
          <t>All staff</t>
        </is>
      </c>
      <c r="M5" s="35" t="inlineStr">
        <is>
          <t>Shared Drive / MAN-004</t>
        </is>
      </c>
      <c r="N5" s="34">
        <f>IF(J5="","",IF(TODAY()&gt;DATEVALUE(J5),"OVERDUE",IF(DATEVALUE(J5)-TODAY()&lt;=30,"DUE SOON","OK")))</f>
        <v/>
      </c>
      <c r="O5" s="36">
        <f>IF(J5="","",IF(TODAY()&gt;DATEVALUE(J5),TODAY()-DATEVALUE(J5),DATEVALUE(J5)-TODAY()))</f>
        <v/>
      </c>
    </row>
    <row r="6" ht="15" customHeight="1" s="21">
      <c r="A6" s="33" t="n">
        <v>5</v>
      </c>
      <c r="B6" s="34" t="inlineStr">
        <is>
          <t>DOC-005</t>
        </is>
      </c>
      <c r="C6" s="35" t="inlineStr">
        <is>
          <t>CAPA Investigation Form</t>
        </is>
      </c>
      <c r="D6" s="33" t="inlineStr">
        <is>
          <t>Form</t>
        </is>
      </c>
      <c r="E6" s="33" t="inlineStr">
        <is>
          <t>2.1</t>
        </is>
      </c>
      <c r="F6" s="33" t="inlineStr">
        <is>
          <t>Under Review</t>
        </is>
      </c>
      <c r="G6" s="35" t="inlineStr">
        <is>
          <t>Quality Officer</t>
        </is>
      </c>
      <c r="H6" s="35" t="n"/>
      <c r="I6" s="33" t="inlineStr">
        <is>
          <t>2025-08-01</t>
        </is>
      </c>
      <c r="J6" s="33" t="inlineStr">
        <is>
          <t>2026-08-01</t>
        </is>
      </c>
      <c r="K6" s="33" t="inlineStr">
        <is>
          <t>Quality</t>
        </is>
      </c>
      <c r="L6" s="35" t="inlineStr">
        <is>
          <t>Quality team</t>
        </is>
      </c>
      <c r="M6" s="35" t="inlineStr">
        <is>
          <t>Shared Drive / FRM-005</t>
        </is>
      </c>
      <c r="N6" s="34">
        <f>IF(J6="","",IF(TODAY()&gt;DATEVALUE(J6),"OVERDUE",IF(DATEVALUE(J6)-TODAY()&lt;=30,"DUE SOON","OK")))</f>
        <v/>
      </c>
      <c r="O6" s="36">
        <f>IF(J6="","",IF(TODAY()&gt;DATEVALUE(J6),TODAY()-DATEVALUE(J6),DATEVALUE(J6)-TODAY()))</f>
        <v/>
      </c>
    </row>
    <row r="7" ht="15" customHeight="1" s="21">
      <c r="A7" s="33" t="n">
        <v>6</v>
      </c>
      <c r="B7" s="34" t="inlineStr">
        <is>
          <t>DOC-006</t>
        </is>
      </c>
      <c r="C7" s="35" t="inlineStr">
        <is>
          <t>Quality Management System Manual</t>
        </is>
      </c>
      <c r="D7" s="33" t="inlineStr">
        <is>
          <t>Manual</t>
        </is>
      </c>
      <c r="E7" s="33" t="inlineStr">
        <is>
          <t>5.0</t>
        </is>
      </c>
      <c r="F7" s="33" t="inlineStr">
        <is>
          <t>Active</t>
        </is>
      </c>
      <c r="G7" s="35" t="inlineStr">
        <is>
          <t>Quality Manager</t>
        </is>
      </c>
      <c r="H7" s="35" t="inlineStr">
        <is>
          <t>Lab Director</t>
        </is>
      </c>
      <c r="I7" s="33" t="inlineStr">
        <is>
          <t>2026-03-01</t>
        </is>
      </c>
      <c r="J7" s="33" t="inlineStr">
        <is>
          <t>2027-03-01</t>
        </is>
      </c>
      <c r="K7" s="33" t="inlineStr">
        <is>
          <t>Quality</t>
        </is>
      </c>
      <c r="L7" s="35" t="inlineStr">
        <is>
          <t>All staff</t>
        </is>
      </c>
      <c r="M7" s="35" t="inlineStr">
        <is>
          <t>Shared Drive / MAN-006</t>
        </is>
      </c>
      <c r="N7" s="34">
        <f>IF(J7="","",IF(TODAY()&gt;DATEVALUE(J7),"OVERDUE",IF(DATEVALUE(J7)-TODAY()&lt;=30,"DUE SOON","OK")))</f>
        <v/>
      </c>
      <c r="O7" s="36">
        <f>IF(J7="","",IF(TODAY()&gt;DATEVALUE(J7),TODAY()-DATEVALUE(J7),DATEVALUE(J7)-TODAY()))</f>
        <v/>
      </c>
    </row>
    <row r="8" ht="15" customHeight="1" s="21">
      <c r="A8" s="33" t="n">
        <v>7</v>
      </c>
      <c r="B8" s="34" t="inlineStr">
        <is>
          <t>DOC-007</t>
        </is>
      </c>
      <c r="C8" s="35" t="inlineStr">
        <is>
          <t>Specimen Rejection Criteria</t>
        </is>
      </c>
      <c r="D8" s="33" t="inlineStr">
        <is>
          <t>SOP</t>
        </is>
      </c>
      <c r="E8" s="33" t="inlineStr">
        <is>
          <t>2.3</t>
        </is>
      </c>
      <c r="F8" s="33" t="inlineStr">
        <is>
          <t>Active</t>
        </is>
      </c>
      <c r="G8" s="35" t="inlineStr">
        <is>
          <t>Lab Supervisor</t>
        </is>
      </c>
      <c r="H8" s="35" t="inlineStr">
        <is>
          <t>Lab Manager</t>
        </is>
      </c>
      <c r="I8" s="33" t="inlineStr">
        <is>
          <t>2026-02-15</t>
        </is>
      </c>
      <c r="J8" s="33" t="inlineStr">
        <is>
          <t>2027-02-15</t>
        </is>
      </c>
      <c r="K8" s="33" t="inlineStr">
        <is>
          <t>Laboratory</t>
        </is>
      </c>
      <c r="L8" s="35" t="inlineStr">
        <is>
          <t>Lab staff</t>
        </is>
      </c>
      <c r="M8" s="35" t="inlineStr">
        <is>
          <t>Shared Drive / SOP-007</t>
        </is>
      </c>
      <c r="N8" s="34">
        <f>IF(J8="","",IF(TODAY()&gt;DATEVALUE(J8),"OVERDUE",IF(DATEVALUE(J8)-TODAY()&lt;=30,"DUE SOON","OK")))</f>
        <v/>
      </c>
      <c r="O8" s="36">
        <f>IF(J8="","",IF(TODAY()&gt;DATEVALUE(J8),TODAY()-DATEVALUE(J8),DATEVALUE(J8)-TODAY()))</f>
        <v/>
      </c>
    </row>
    <row r="9" ht="15" customHeight="1" s="21">
      <c r="A9" s="33" t="n">
        <v>8</v>
      </c>
      <c r="B9" s="34" t="inlineStr">
        <is>
          <t>DOC-008</t>
        </is>
      </c>
      <c r="C9" s="35" t="inlineStr">
        <is>
          <t>Competency Assessment Procedure</t>
        </is>
      </c>
      <c r="D9" s="33" t="inlineStr">
        <is>
          <t>SOP</t>
        </is>
      </c>
      <c r="E9" s="33" t="inlineStr">
        <is>
          <t>1.2</t>
        </is>
      </c>
      <c r="F9" s="33" t="inlineStr">
        <is>
          <t>Active</t>
        </is>
      </c>
      <c r="G9" s="35" t="inlineStr">
        <is>
          <t>HR Manager</t>
        </is>
      </c>
      <c r="H9" s="35" t="inlineStr">
        <is>
          <t>Lab Director</t>
        </is>
      </c>
      <c r="I9" s="33" t="inlineStr">
        <is>
          <t>2026-01-20</t>
        </is>
      </c>
      <c r="J9" s="33" t="inlineStr">
        <is>
          <t>2026-10-20</t>
        </is>
      </c>
      <c r="K9" s="33" t="inlineStr">
        <is>
          <t>HR</t>
        </is>
      </c>
      <c r="L9" s="35" t="inlineStr">
        <is>
          <t>All staff</t>
        </is>
      </c>
      <c r="M9" s="35" t="inlineStr">
        <is>
          <t>Shared Drive / SOP-008</t>
        </is>
      </c>
      <c r="N9" s="34">
        <f>IF(J9="","",IF(TODAY()&gt;DATEVALUE(J9),"OVERDUE",IF(DATEVALUE(J9)-TODAY()&lt;=30,"DUE SOON","OK")))</f>
        <v/>
      </c>
      <c r="O9" s="36">
        <f>IF(J9="","",IF(TODAY()&gt;DATEVALUE(J9),TODAY()-DATEVALUE(J9),DATEVALUE(J9)-TODAY()))</f>
        <v/>
      </c>
    </row>
    <row r="10" ht="15" customHeight="1" s="21">
      <c r="A10" s="33" t="n">
        <v>9</v>
      </c>
      <c r="B10" s="34" t="inlineStr">
        <is>
          <t>DOC-009</t>
        </is>
      </c>
      <c r="C10" s="35" t="inlineStr">
        <is>
          <t>Proficiency Testing Procedure</t>
        </is>
      </c>
      <c r="D10" s="33" t="inlineStr">
        <is>
          <t>SOP</t>
        </is>
      </c>
      <c r="E10" s="33" t="inlineStr">
        <is>
          <t>3.0</t>
        </is>
      </c>
      <c r="F10" s="33" t="inlineStr">
        <is>
          <t>Active</t>
        </is>
      </c>
      <c r="G10" s="35" t="inlineStr">
        <is>
          <t>Quality Manager</t>
        </is>
      </c>
      <c r="H10" s="35" t="inlineStr">
        <is>
          <t>Lab Director</t>
        </is>
      </c>
      <c r="I10" s="33" t="inlineStr">
        <is>
          <t>2026-01-10</t>
        </is>
      </c>
      <c r="J10" s="33" t="inlineStr">
        <is>
          <t>2027-01-10</t>
        </is>
      </c>
      <c r="K10" s="33" t="inlineStr">
        <is>
          <t>Laboratory</t>
        </is>
      </c>
      <c r="L10" s="35" t="inlineStr">
        <is>
          <t>Lab staff</t>
        </is>
      </c>
      <c r="M10" s="35" t="inlineStr">
        <is>
          <t>Shared Drive / SOP-009</t>
        </is>
      </c>
      <c r="N10" s="34">
        <f>IF(J10="","",IF(TODAY()&gt;DATEVALUE(J10),"OVERDUE",IF(DATEVALUE(J10)-TODAY()&lt;=30,"DUE SOON","OK")))</f>
        <v/>
      </c>
      <c r="O10" s="36">
        <f>IF(J10="","",IF(TODAY()&gt;DATEVALUE(J10),TODAY()-DATEVALUE(J10),DATEVALUE(J10)-TODAY()))</f>
        <v/>
      </c>
    </row>
    <row r="11" ht="15" customHeight="1" s="21">
      <c r="A11" s="33" t="n">
        <v>10</v>
      </c>
      <c r="B11" s="34" t="inlineStr">
        <is>
          <t>DOC-010</t>
        </is>
      </c>
      <c r="C11" s="35" t="inlineStr">
        <is>
          <t>Temperature Monitoring Log Form</t>
        </is>
      </c>
      <c r="D11" s="33" t="inlineStr">
        <is>
          <t>Form</t>
        </is>
      </c>
      <c r="E11" s="33" t="inlineStr">
        <is>
          <t>1.0</t>
        </is>
      </c>
      <c r="F11" s="33" t="inlineStr">
        <is>
          <t>Draft</t>
        </is>
      </c>
      <c r="G11" s="35" t="inlineStr">
        <is>
          <t>Lab Tech</t>
        </is>
      </c>
      <c r="H11" s="35" t="n"/>
      <c r="I11" s="33" t="n"/>
      <c r="J11" s="33" t="inlineStr">
        <is>
          <t>2026-12-01</t>
        </is>
      </c>
      <c r="K11" s="33" t="inlineStr">
        <is>
          <t>Laboratory</t>
        </is>
      </c>
      <c r="L11" s="35" t="inlineStr">
        <is>
          <t>Lab staff</t>
        </is>
      </c>
      <c r="M11" s="35" t="inlineStr">
        <is>
          <t>Shared Drive / FRM-010</t>
        </is>
      </c>
      <c r="N11" s="34">
        <f>IF(J11="","",IF(TODAY()&gt;DATEVALUE(J11),"OVERDUE",IF(DATEVALUE(J11)-TODAY()&lt;=30,"DUE SOON","OK")))</f>
        <v/>
      </c>
      <c r="O11" s="36">
        <f>IF(J11="","",IF(TODAY()&gt;DATEVALUE(J11),TODAY()-DATEVALUE(J11),DATEVALUE(J11)-TODAY()))</f>
        <v/>
      </c>
    </row>
    <row r="12" ht="15" customHeight="1" s="21">
      <c r="A12" s="33" t="n">
        <v>11</v>
      </c>
      <c r="N12" s="34">
        <f>IF(J12="","",IF(TODAY()&gt;DATEVALUE(J12),"OVERDUE",IF(DATEVALUE(J12)-TODAY()&lt;=30,"DUE SOON","OK")))</f>
        <v/>
      </c>
      <c r="O12" s="36">
        <f>IF(J12="","",IF(TODAY()&gt;DATEVALUE(J12),TODAY()-DATEVALUE(J12),DATEVALUE(J12)-TODAY()))</f>
        <v/>
      </c>
    </row>
    <row r="13" ht="15" customHeight="1" s="21">
      <c r="A13" s="33" t="n">
        <v>12</v>
      </c>
      <c r="N13" s="34">
        <f>IF(J13="","",IF(TODAY()&gt;DATEVALUE(J13),"OVERDUE",IF(DATEVALUE(J13)-TODAY()&lt;=30,"DUE SOON","OK")))</f>
        <v/>
      </c>
      <c r="O13" s="36">
        <f>IF(J13="","",IF(TODAY()&gt;DATEVALUE(J13),TODAY()-DATEVALUE(J13),DATEVALUE(J13)-TODAY()))</f>
        <v/>
      </c>
    </row>
    <row r="14" ht="15" customHeight="1" s="21">
      <c r="A14" s="33" t="n">
        <v>13</v>
      </c>
      <c r="N14" s="34">
        <f>IF(J14="","",IF(TODAY()&gt;DATEVALUE(J14),"OVERDUE",IF(DATEVALUE(J14)-TODAY()&lt;=30,"DUE SOON","OK")))</f>
        <v/>
      </c>
      <c r="O14" s="36">
        <f>IF(J14="","",IF(TODAY()&gt;DATEVALUE(J14),TODAY()-DATEVALUE(J14),DATEVALUE(J14)-TODAY()))</f>
        <v/>
      </c>
    </row>
    <row r="15" ht="15" customHeight="1" s="21">
      <c r="A15" s="33" t="n">
        <v>14</v>
      </c>
      <c r="N15" s="34">
        <f>IF(J15="","",IF(TODAY()&gt;DATEVALUE(J15),"OVERDUE",IF(DATEVALUE(J15)-TODAY()&lt;=30,"DUE SOON","OK")))</f>
        <v/>
      </c>
      <c r="O15" s="36">
        <f>IF(J15="","",IF(TODAY()&gt;DATEVALUE(J15),TODAY()-DATEVALUE(J15),DATEVALUE(J15)-TODAY()))</f>
        <v/>
      </c>
    </row>
    <row r="16" ht="15" customHeight="1" s="21">
      <c r="A16" s="33" t="n">
        <v>15</v>
      </c>
      <c r="N16" s="34">
        <f>IF(J16="","",IF(TODAY()&gt;DATEVALUE(J16),"OVERDUE",IF(DATEVALUE(J16)-TODAY()&lt;=30,"DUE SOON","OK")))</f>
        <v/>
      </c>
      <c r="O16" s="36">
        <f>IF(J16="","",IF(TODAY()&gt;DATEVALUE(J16),TODAY()-DATEVALUE(J16),DATEVALUE(J16)-TODAY()))</f>
        <v/>
      </c>
    </row>
    <row r="17" ht="15" customHeight="1" s="21">
      <c r="A17" s="33" t="n">
        <v>16</v>
      </c>
      <c r="N17" s="34">
        <f>IF(J17="","",IF(TODAY()&gt;DATEVALUE(J17),"OVERDUE",IF(DATEVALUE(J17)-TODAY()&lt;=30,"DUE SOON","OK")))</f>
        <v/>
      </c>
      <c r="O17" s="36">
        <f>IF(J17="","",IF(TODAY()&gt;DATEVALUE(J17),TODAY()-DATEVALUE(J17),DATEVALUE(J17)-TODAY()))</f>
        <v/>
      </c>
    </row>
    <row r="18" ht="15" customHeight="1" s="21">
      <c r="A18" s="33" t="n">
        <v>17</v>
      </c>
      <c r="N18" s="34">
        <f>IF(J18="","",IF(TODAY()&gt;DATEVALUE(J18),"OVERDUE",IF(DATEVALUE(J18)-TODAY()&lt;=30,"DUE SOON","OK")))</f>
        <v/>
      </c>
      <c r="O18" s="36">
        <f>IF(J18="","",IF(TODAY()&gt;DATEVALUE(J18),TODAY()-DATEVALUE(J18),DATEVALUE(J18)-TODAY()))</f>
        <v/>
      </c>
    </row>
    <row r="19" ht="15" customHeight="1" s="21">
      <c r="A19" s="33" t="n">
        <v>18</v>
      </c>
      <c r="N19" s="34">
        <f>IF(J19="","",IF(TODAY()&gt;DATEVALUE(J19),"OVERDUE",IF(DATEVALUE(J19)-TODAY()&lt;=30,"DUE SOON","OK")))</f>
        <v/>
      </c>
      <c r="O19" s="36">
        <f>IF(J19="","",IF(TODAY()&gt;DATEVALUE(J19),TODAY()-DATEVALUE(J19),DATEVALUE(J19)-TODAY()))</f>
        <v/>
      </c>
    </row>
    <row r="20" ht="15" customHeight="1" s="21">
      <c r="A20" s="33" t="n">
        <v>19</v>
      </c>
      <c r="N20" s="34">
        <f>IF(J20="","",IF(TODAY()&gt;DATEVALUE(J20),"OVERDUE",IF(DATEVALUE(J20)-TODAY()&lt;=30,"DUE SOON","OK")))</f>
        <v/>
      </c>
      <c r="O20" s="36">
        <f>IF(J20="","",IF(TODAY()&gt;DATEVALUE(J20),TODAY()-DATEVALUE(J20),DATEVALUE(J20)-TODAY()))</f>
        <v/>
      </c>
    </row>
    <row r="21" ht="15" customHeight="1" s="21">
      <c r="A21" s="33" t="n">
        <v>20</v>
      </c>
      <c r="N21" s="34">
        <f>IF(J21="","",IF(TODAY()&gt;DATEVALUE(J21),"OVERDUE",IF(DATEVALUE(J21)-TODAY()&lt;=30,"DUE SOON","OK")))</f>
        <v/>
      </c>
      <c r="O21" s="36">
        <f>IF(J21="","",IF(TODAY()&gt;DATEVALUE(J21),TODAY()-DATEVALUE(J21),DATEVALUE(J21)-TODAY()))</f>
        <v/>
      </c>
    </row>
    <row r="22" ht="15" customHeight="1" s="21">
      <c r="A22" s="33" t="n">
        <v>21</v>
      </c>
      <c r="N22" s="34">
        <f>IF(J22="","",IF(TODAY()&gt;DATEVALUE(J22),"OVERDUE",IF(DATEVALUE(J22)-TODAY()&lt;=30,"DUE SOON","OK")))</f>
        <v/>
      </c>
      <c r="O22" s="36">
        <f>IF(J22="","",IF(TODAY()&gt;DATEVALUE(J22),TODAY()-DATEVALUE(J22),DATEVALUE(J22)-TODAY()))</f>
        <v/>
      </c>
    </row>
    <row r="23" ht="15" customHeight="1" s="21">
      <c r="A23" s="33" t="n">
        <v>22</v>
      </c>
      <c r="N23" s="34">
        <f>IF(J23="","",IF(TODAY()&gt;DATEVALUE(J23),"OVERDUE",IF(DATEVALUE(J23)-TODAY()&lt;=30,"DUE SOON","OK")))</f>
        <v/>
      </c>
      <c r="O23" s="36">
        <f>IF(J23="","",IF(TODAY()&gt;DATEVALUE(J23),TODAY()-DATEVALUE(J23),DATEVALUE(J23)-TODAY()))</f>
        <v/>
      </c>
    </row>
    <row r="24" ht="15" customHeight="1" s="21">
      <c r="A24" s="33" t="n">
        <v>23</v>
      </c>
      <c r="N24" s="34">
        <f>IF(J24="","",IF(TODAY()&gt;DATEVALUE(J24),"OVERDUE",IF(DATEVALUE(J24)-TODAY()&lt;=30,"DUE SOON","OK")))</f>
        <v/>
      </c>
      <c r="O24" s="36">
        <f>IF(J24="","",IF(TODAY()&gt;DATEVALUE(J24),TODAY()-DATEVALUE(J24),DATEVALUE(J24)-TODAY()))</f>
        <v/>
      </c>
    </row>
    <row r="25" ht="15" customHeight="1" s="21">
      <c r="A25" s="33" t="n">
        <v>24</v>
      </c>
      <c r="N25" s="34">
        <f>IF(J25="","",IF(TODAY()&gt;DATEVALUE(J25),"OVERDUE",IF(DATEVALUE(J25)-TODAY()&lt;=30,"DUE SOON","OK")))</f>
        <v/>
      </c>
      <c r="O25" s="36">
        <f>IF(J25="","",IF(TODAY()&gt;DATEVALUE(J25),TODAY()-DATEVALUE(J25),DATEVALUE(J25)-TODAY()))</f>
        <v/>
      </c>
    </row>
    <row r="26" ht="15" customHeight="1" s="21">
      <c r="A26" s="33" t="n">
        <v>25</v>
      </c>
      <c r="N26" s="34">
        <f>IF(J26="","",IF(TODAY()&gt;DATEVALUE(J26),"OVERDUE",IF(DATEVALUE(J26)-TODAY()&lt;=30,"DUE SOON","OK")))</f>
        <v/>
      </c>
      <c r="O26" s="36">
        <f>IF(J26="","",IF(TODAY()&gt;DATEVALUE(J26),TODAY()-DATEVALUE(J26),DATEVALUE(J26)-TODAY()))</f>
        <v/>
      </c>
    </row>
    <row r="27" ht="15" customHeight="1" s="21">
      <c r="A27" s="33" t="n">
        <v>26</v>
      </c>
      <c r="N27" s="34">
        <f>IF(J27="","",IF(TODAY()&gt;DATEVALUE(J27),"OVERDUE",IF(DATEVALUE(J27)-TODAY()&lt;=30,"DUE SOON","OK")))</f>
        <v/>
      </c>
      <c r="O27" s="36">
        <f>IF(J27="","",IF(TODAY()&gt;DATEVALUE(J27),TODAY()-DATEVALUE(J27),DATEVALUE(J27)-TODAY()))</f>
        <v/>
      </c>
    </row>
    <row r="28" ht="15" customHeight="1" s="21">
      <c r="A28" s="33" t="n">
        <v>27</v>
      </c>
      <c r="N28" s="34">
        <f>IF(J28="","",IF(TODAY()&gt;DATEVALUE(J28),"OVERDUE",IF(DATEVALUE(J28)-TODAY()&lt;=30,"DUE SOON","OK")))</f>
        <v/>
      </c>
      <c r="O28" s="36">
        <f>IF(J28="","",IF(TODAY()&gt;DATEVALUE(J28),TODAY()-DATEVALUE(J28),DATEVALUE(J28)-TODAY()))</f>
        <v/>
      </c>
    </row>
    <row r="29" ht="15" customHeight="1" s="21">
      <c r="A29" s="33" t="n">
        <v>28</v>
      </c>
      <c r="N29" s="34">
        <f>IF(J29="","",IF(TODAY()&gt;DATEVALUE(J29),"OVERDUE",IF(DATEVALUE(J29)-TODAY()&lt;=30,"DUE SOON","OK")))</f>
        <v/>
      </c>
      <c r="O29" s="36">
        <f>IF(J29="","",IF(TODAY()&gt;DATEVALUE(J29),TODAY()-DATEVALUE(J29),DATEVALUE(J29)-TODAY()))</f>
        <v/>
      </c>
    </row>
    <row r="30" ht="15" customHeight="1" s="21">
      <c r="A30" s="33" t="n">
        <v>29</v>
      </c>
      <c r="N30" s="34">
        <f>IF(J30="","",IF(TODAY()&gt;DATEVALUE(J30),"OVERDUE",IF(DATEVALUE(J30)-TODAY()&lt;=30,"DUE SOON","OK")))</f>
        <v/>
      </c>
      <c r="O30" s="36">
        <f>IF(J30="","",IF(TODAY()&gt;DATEVALUE(J30),TODAY()-DATEVALUE(J30),DATEVALUE(J30)-TODAY()))</f>
        <v/>
      </c>
    </row>
    <row r="31" ht="15" customHeight="1" s="21">
      <c r="A31" s="33" t="n">
        <v>30</v>
      </c>
      <c r="N31" s="34">
        <f>IF(J31="","",IF(TODAY()&gt;DATEVALUE(J31),"OVERDUE",IF(DATEVALUE(J31)-TODAY()&lt;=30,"DUE SOON","OK")))</f>
        <v/>
      </c>
      <c r="O31" s="36">
        <f>IF(J31="","",IF(TODAY()&gt;DATEVALUE(J31),TODAY()-DATEVALUE(J31),DATEVALUE(J31)-TODAY()))</f>
        <v/>
      </c>
    </row>
    <row r="32" ht="15" customHeight="1" s="21">
      <c r="A32" s="33" t="n">
        <v>31</v>
      </c>
      <c r="N32" s="34">
        <f>IF(J32="","",IF(TODAY()&gt;DATEVALUE(J32),"OVERDUE",IF(DATEVALUE(J32)-TODAY()&lt;=30,"DUE SOON","OK")))</f>
        <v/>
      </c>
      <c r="O32" s="36">
        <f>IF(J32="","",IF(TODAY()&gt;DATEVALUE(J32),TODAY()-DATEVALUE(J32),DATEVALUE(J32)-TODAY()))</f>
        <v/>
      </c>
    </row>
    <row r="33" ht="15" customHeight="1" s="21">
      <c r="A33" s="33" t="n">
        <v>32</v>
      </c>
      <c r="N33" s="34">
        <f>IF(J33="","",IF(TODAY()&gt;DATEVALUE(J33),"OVERDUE",IF(DATEVALUE(J33)-TODAY()&lt;=30,"DUE SOON","OK")))</f>
        <v/>
      </c>
      <c r="O33" s="36">
        <f>IF(J33="","",IF(TODAY()&gt;DATEVALUE(J33),TODAY()-DATEVALUE(J33),DATEVALUE(J33)-TODAY()))</f>
        <v/>
      </c>
    </row>
    <row r="34" ht="15" customHeight="1" s="21">
      <c r="A34" s="33" t="n">
        <v>33</v>
      </c>
      <c r="N34" s="34">
        <f>IF(J34="","",IF(TODAY()&gt;DATEVALUE(J34),"OVERDUE",IF(DATEVALUE(J34)-TODAY()&lt;=30,"DUE SOON","OK")))</f>
        <v/>
      </c>
      <c r="O34" s="36">
        <f>IF(J34="","",IF(TODAY()&gt;DATEVALUE(J34),TODAY()-DATEVALUE(J34),DATEVALUE(J34)-TODAY()))</f>
        <v/>
      </c>
    </row>
    <row r="35" ht="15" customHeight="1" s="21">
      <c r="A35" s="33" t="n">
        <v>34</v>
      </c>
      <c r="N35" s="34">
        <f>IF(J35="","",IF(TODAY()&gt;DATEVALUE(J35),"OVERDUE",IF(DATEVALUE(J35)-TODAY()&lt;=30,"DUE SOON","OK")))</f>
        <v/>
      </c>
      <c r="O35" s="36">
        <f>IF(J35="","",IF(TODAY()&gt;DATEVALUE(J35),TODAY()-DATEVALUE(J35),DATEVALUE(J35)-TODAY()))</f>
        <v/>
      </c>
    </row>
    <row r="36" ht="15" customHeight="1" s="21">
      <c r="A36" s="33" t="n">
        <v>35</v>
      </c>
      <c r="N36" s="34">
        <f>IF(J36="","",IF(TODAY()&gt;DATEVALUE(J36),"OVERDUE",IF(DATEVALUE(J36)-TODAY()&lt;=30,"DUE SOON","OK")))</f>
        <v/>
      </c>
      <c r="O36" s="36">
        <f>IF(J36="","",IF(TODAY()&gt;DATEVALUE(J36),TODAY()-DATEVALUE(J36),DATEVALUE(J36)-TODAY()))</f>
        <v/>
      </c>
    </row>
    <row r="37" ht="15" customHeight="1" s="21">
      <c r="A37" s="33" t="n">
        <v>36</v>
      </c>
      <c r="N37" s="34">
        <f>IF(J37="","",IF(TODAY()&gt;DATEVALUE(J37),"OVERDUE",IF(DATEVALUE(J37)-TODAY()&lt;=30,"DUE SOON","OK")))</f>
        <v/>
      </c>
      <c r="O37" s="36">
        <f>IF(J37="","",IF(TODAY()&gt;DATEVALUE(J37),TODAY()-DATEVALUE(J37),DATEVALUE(J37)-TODAY()))</f>
        <v/>
      </c>
    </row>
    <row r="38" ht="15" customHeight="1" s="21">
      <c r="A38" s="33" t="n">
        <v>37</v>
      </c>
      <c r="N38" s="34">
        <f>IF(J38="","",IF(TODAY()&gt;DATEVALUE(J38),"OVERDUE",IF(DATEVALUE(J38)-TODAY()&lt;=30,"DUE SOON","OK")))</f>
        <v/>
      </c>
      <c r="O38" s="36">
        <f>IF(J38="","",IF(TODAY()&gt;DATEVALUE(J38),TODAY()-DATEVALUE(J38),DATEVALUE(J38)-TODAY()))</f>
        <v/>
      </c>
    </row>
    <row r="39" ht="15" customHeight="1" s="21">
      <c r="A39" s="33" t="n">
        <v>38</v>
      </c>
      <c r="N39" s="34">
        <f>IF(J39="","",IF(TODAY()&gt;DATEVALUE(J39),"OVERDUE",IF(DATEVALUE(J39)-TODAY()&lt;=30,"DUE SOON","OK")))</f>
        <v/>
      </c>
      <c r="O39" s="36">
        <f>IF(J39="","",IF(TODAY()&gt;DATEVALUE(J39),TODAY()-DATEVALUE(J39),DATEVALUE(J39)-TODAY()))</f>
        <v/>
      </c>
    </row>
    <row r="40" ht="15" customHeight="1" s="21">
      <c r="A40" s="33" t="n">
        <v>39</v>
      </c>
      <c r="N40" s="34">
        <f>IF(J40="","",IF(TODAY()&gt;DATEVALUE(J40),"OVERDUE",IF(DATEVALUE(J40)-TODAY()&lt;=30,"DUE SOON","OK")))</f>
        <v/>
      </c>
      <c r="O40" s="36">
        <f>IF(J40="","",IF(TODAY()&gt;DATEVALUE(J40),TODAY()-DATEVALUE(J40),DATEVALUE(J40)-TODAY()))</f>
        <v/>
      </c>
    </row>
    <row r="41" ht="15" customHeight="1" s="21">
      <c r="A41" s="33" t="n">
        <v>40</v>
      </c>
      <c r="N41" s="34">
        <f>IF(J41="","",IF(TODAY()&gt;DATEVALUE(J41),"OVERDUE",IF(DATEVALUE(J41)-TODAY()&lt;=30,"DUE SOON","OK")))</f>
        <v/>
      </c>
      <c r="O41" s="36">
        <f>IF(J41="","",IF(TODAY()&gt;DATEVALUE(J41),TODAY()-DATEVALUE(J41),DATEVALUE(J41)-TODAY()))</f>
        <v/>
      </c>
    </row>
  </sheetData>
  <autoFilter ref="A1:O41"/>
  <conditionalFormatting sqref="N2:N41">
    <cfRule type="cellIs" rank="0" priority="2" equalAverage="0" operator="equal" aboveAverage="0" dxfId="8" text="" percent="0" bottom="0">
      <formula>"OVERDUE"</formula>
    </cfRule>
    <cfRule type="cellIs" rank="0" priority="3" equalAverage="0" operator="equal" aboveAverage="0" dxfId="9" text="" percent="0" bottom="0">
      <formula>"DUE SOON"</formula>
    </cfRule>
  </conditionalFormatting>
  <conditionalFormatting sqref="O2:O41">
    <cfRule type="dataBar" priority="4">
      <dataBar minLength="10" maxLength="90" showValue="1">
        <cfvo type="num" val="0"/>
        <cfvo type="num" val="365"/>
        <color rgb="FFD8A72B"/>
      </dataBar>
    </cfRule>
  </conditionalFormatting>
  <dataValidations count="3">
    <dataValidation sqref="D2:D41" showDropDown="0" showInputMessage="0" showErrorMessage="0" allowBlank="1" type="list" errorStyle="stop" operator="between">
      <formula1>"SOP,Policy,Form,Manual,Guideline,Work Instruction,Record"</formula1>
      <formula2>0</formula2>
    </dataValidation>
    <dataValidation sqref="F2:F41" showDropDown="0" showInputMessage="0" showErrorMessage="0" allowBlank="1" type="list" errorStyle="stop" operator="between">
      <formula1>"Draft,Under Review,Approved,Active,Superseded,Archived"</formula1>
      <formula2>0</formula2>
    </dataValidation>
    <dataValidation sqref="K2:K41" showDropDown="0" showInputMessage="0" showErrorMessage="0" allowBlank="1" type="list" errorStyle="stop" operator="between">
      <formula1>"Laboratory,Quality,Safety,Administration,IT,HR,All"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L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0" min="1" max="1"/>
    <col width="14" customWidth="1" style="20" min="2" max="12"/>
  </cols>
  <sheetData>
    <row r="2" ht="31.5" customHeight="1" s="21">
      <c r="B2" s="37" t="inlineStr">
        <is>
          <t>Document Control Dashboard</t>
        </is>
      </c>
    </row>
    <row r="4" ht="21.75" customHeight="1" s="21">
      <c r="B4" s="38" t="inlineStr">
        <is>
          <t>Total Documents</t>
        </is>
      </c>
      <c r="D4" s="38" t="inlineStr">
        <is>
          <t>Active</t>
        </is>
      </c>
      <c r="F4" s="38" t="inlineStr">
        <is>
          <t>Overdue Reviews</t>
        </is>
      </c>
      <c r="H4" s="38" t="inlineStr">
        <is>
          <t>Due Soon</t>
        </is>
      </c>
      <c r="J4" s="38" t="inlineStr">
        <is>
          <t>Drafts</t>
        </is>
      </c>
    </row>
    <row r="5" ht="19.5" customHeight="1" s="21">
      <c r="B5" s="39">
        <f>COUNTA('Document Register'!B2:B41)</f>
        <v/>
      </c>
      <c r="D5" s="39">
        <f>COUNTIF('Document Register'!F2:F41,"Active")</f>
        <v/>
      </c>
      <c r="F5" s="39">
        <f>COUNTIF('Document Register'!N2:N41,"OVERDUE")</f>
        <v/>
      </c>
      <c r="H5" s="39">
        <f>COUNTIF('Document Register'!N2:N41,"DUE SOON")</f>
        <v/>
      </c>
      <c r="J5" s="39">
        <f>COUNTIF('Document Register'!F2:F41,"Draft")</f>
        <v/>
      </c>
    </row>
    <row r="6" ht="19.5" customHeight="1" s="21"/>
    <row r="9" ht="24" customHeight="1" s="21">
      <c r="B9" s="40" t="inlineStr">
        <is>
          <t>Documents by Type</t>
        </is>
      </c>
    </row>
    <row r="10" ht="15" customHeight="1" s="21">
      <c r="B10" s="32" t="inlineStr">
        <is>
          <t>Type</t>
        </is>
      </c>
      <c r="C10" s="32" t="inlineStr">
        <is>
          <t>Count</t>
        </is>
      </c>
    </row>
    <row r="11" ht="15" customHeight="1" s="21">
      <c r="B11" s="35" t="inlineStr">
        <is>
          <t>SOP</t>
        </is>
      </c>
      <c r="C11" s="34">
        <f>COUNTIF('Document Register'!D2:D41,"SOP")</f>
        <v/>
      </c>
    </row>
    <row r="12" ht="15" customHeight="1" s="21">
      <c r="B12" s="35" t="inlineStr">
        <is>
          <t>Policy</t>
        </is>
      </c>
      <c r="C12" s="34">
        <f>COUNTIF('Document Register'!D2:D41,"Policy")</f>
        <v/>
      </c>
    </row>
    <row r="13" ht="15" customHeight="1" s="21">
      <c r="B13" s="35" t="inlineStr">
        <is>
          <t>Form</t>
        </is>
      </c>
      <c r="C13" s="34">
        <f>COUNTIF('Document Register'!D2:D41,"Form")</f>
        <v/>
      </c>
    </row>
    <row r="14" ht="15" customHeight="1" s="21">
      <c r="B14" s="35" t="inlineStr">
        <is>
          <t>Manual</t>
        </is>
      </c>
      <c r="C14" s="34">
        <f>COUNTIF('Document Register'!D2:D41,"Manual")</f>
        <v/>
      </c>
    </row>
    <row r="15" ht="15" customHeight="1" s="21">
      <c r="B15" s="35" t="inlineStr">
        <is>
          <t>Guideline</t>
        </is>
      </c>
      <c r="C15" s="34">
        <f>COUNTIF('Document Register'!D2:D41,"Guideline")</f>
        <v/>
      </c>
    </row>
    <row r="16" ht="15" customHeight="1" s="21">
      <c r="B16" s="35" t="inlineStr">
        <is>
          <t>Work Instruction</t>
        </is>
      </c>
      <c r="C16" s="34">
        <f>COUNTIF('Document Register'!D2:D41,"Work Instruction")</f>
        <v/>
      </c>
    </row>
    <row r="17" ht="15" customHeight="1" s="21">
      <c r="B17" s="35" t="inlineStr">
        <is>
          <t>Record</t>
        </is>
      </c>
      <c r="C17" s="34">
        <f>COUNTIF('Document Register'!D2:D41,"Record")</f>
        <v/>
      </c>
    </row>
    <row r="22" ht="24" customHeight="1" s="21">
      <c r="B22" s="40" t="inlineStr">
        <is>
          <t>Documents by Status</t>
        </is>
      </c>
    </row>
    <row r="23" ht="15" customHeight="1" s="21">
      <c r="B23" s="32" t="inlineStr">
        <is>
          <t>Status</t>
        </is>
      </c>
      <c r="C23" s="32" t="inlineStr">
        <is>
          <t>Count</t>
        </is>
      </c>
    </row>
    <row r="24" ht="15" customHeight="1" s="21">
      <c r="B24" s="35" t="inlineStr">
        <is>
          <t>Draft</t>
        </is>
      </c>
      <c r="C24" s="34">
        <f>COUNTIF('Document Register'!F2:F41,"Draft")</f>
        <v/>
      </c>
    </row>
    <row r="25" ht="15" customHeight="1" s="21">
      <c r="B25" s="35" t="inlineStr">
        <is>
          <t>Under Review</t>
        </is>
      </c>
      <c r="C25" s="34">
        <f>COUNTIF('Document Register'!F2:F41,"Under Review")</f>
        <v/>
      </c>
    </row>
    <row r="26" ht="15" customHeight="1" s="21">
      <c r="B26" s="35" t="inlineStr">
        <is>
          <t>Approved</t>
        </is>
      </c>
      <c r="C26" s="34">
        <f>COUNTIF('Document Register'!F2:F41,"Approved")</f>
        <v/>
      </c>
    </row>
    <row r="27" ht="15" customHeight="1" s="21">
      <c r="B27" s="35" t="inlineStr">
        <is>
          <t>Active</t>
        </is>
      </c>
      <c r="C27" s="34">
        <f>COUNTIF('Document Register'!F2:F41,"Active")</f>
        <v/>
      </c>
    </row>
    <row r="28" ht="15" customHeight="1" s="21">
      <c r="B28" s="35" t="inlineStr">
        <is>
          <t>Superseded</t>
        </is>
      </c>
      <c r="C28" s="34">
        <f>COUNTIF('Document Register'!F2:F41,"Superseded")</f>
        <v/>
      </c>
    </row>
    <row r="29" ht="15" customHeight="1" s="21">
      <c r="B29" s="35" t="inlineStr">
        <is>
          <t>Archived</t>
        </is>
      </c>
      <c r="C29" s="34">
        <f>COUNTIF('Document Register'!F2:F41,"Archived")</f>
        <v/>
      </c>
    </row>
  </sheetData>
  <mergeCells count="13">
    <mergeCell ref="F4:G4"/>
    <mergeCell ref="J4:K4"/>
    <mergeCell ref="B22:G22"/>
    <mergeCell ref="B9:G9"/>
    <mergeCell ref="B5:C6"/>
    <mergeCell ref="B2:L2"/>
    <mergeCell ref="D5:E6"/>
    <mergeCell ref="F5:G6"/>
    <mergeCell ref="D4:E4"/>
    <mergeCell ref="H4:I4"/>
    <mergeCell ref="H5:I6"/>
    <mergeCell ref="J5:K6"/>
    <mergeCell ref="B4:C4"/>
  </mergeCell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2026-10-07T15:54:23Z</dcterms:created>
  <dcterms:modified xmlns:dcterms="http://purl.org/dc/terms/" xmlns:xsi="http://www.w3.org/2001/XMLSchema-instance" xsi:type="dcterms:W3CDTF">2026-10-07T16:05:32Z</dcterms:modified>
  <cp:revision>1</cp:revision>
</cp:coreProperties>
</file>