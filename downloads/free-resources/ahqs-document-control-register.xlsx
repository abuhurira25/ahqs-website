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ettings" sheetId="2" state="hidden" r:id="rId4"/>
    <sheet name="Document Register" sheetId="3" state="visible" r:id="rId5"/>
    <sheet name="Dashboard" sheetId="4" state="visible" r:id="rId6"/>
  </sheets>
  <definedNames>
    <definedName function="false" hidden="true" localSheetId="2" name="_xlnm._FilterDatabase" vbProcedure="false">'Document Register'!$A$1:$O$41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<sst xmlns="http://schemas.openxmlformats.org/spreadsheetml/2006/main" count="200" uniqueCount="136">
  <si>
    <t xml:space="preserve">Document Control Register</t>
  </si>
  <si>
    <t xml:space="preserve">AHQS — Accelerate Healthcare Quality Solutions</t>
  </si>
  <si>
    <t xml:space="preserve">A comprehensive document management tool with version control, review tracking, approval workflow, distribution lists, and a status dashboard with charts.</t>
  </si>
  <si>
    <t xml:space="preserve">Key Features</t>
  </si>
  <si>
    <t xml:space="preserve">  •  Document version control with review cycle tracking</t>
  </si>
  <si>
    <t xml:space="preserve">  •  Auto-calculated overdue review flags</t>
  </si>
  <si>
    <t xml:space="preserve">  •  Document type and status breakdown</t>
  </si>
  <si>
    <t xml:space="preserve">  •  Distribution list tracking</t>
  </si>
  <si>
    <t xml:space="preserve">  •  Review calendar with upcoming deadlines</t>
  </si>
  <si>
    <t xml:space="preserve">  •  Dashboard with charts and KPIs</t>
  </si>
  <si>
    <t xml:space="preserve">How to Use</t>
  </si>
  <si>
    <t xml:space="preserve">1.  Start with the Data Entry sheet — fill in yellow-shaded input cells only</t>
  </si>
  <si>
    <t xml:space="preserve">2.  Blue-shaded cells contain formulas — do not overwrite them</t>
  </si>
  <si>
    <t xml:space="preserve">3.  Use dropdown menus for standardized entries</t>
  </si>
  <si>
    <t xml:space="preserve">4.  Check the Dashboard sheet for auto-calculated metrics and charts</t>
  </si>
  <si>
    <t xml:space="preserve">5.  Save a copy for each audit cycle or reporting period</t>
  </si>
  <si>
    <t xml:space="preserve">6.  This tool is free to use for internal quality improvement</t>
  </si>
  <si>
    <t xml:space="preserve">Disclaimer &amp; License</t>
  </si>
  <si>
    <t xml:space="preserve">This is an AHQS-created quality improvement tool. It is not an official CAP, ISO 15189, JCI or AABB standards document, and does not reproduce official standards text. Always purchase official standards directly from the accrediting bodies. This template is provided free of charge for internal quality improvement use. © 2026 Accelerate Healthcare Quality Solutions (AHQS). Not for resale.</t>
  </si>
  <si>
    <t xml:space="preserve">Tool ID: AHQS-DOC-002  |  Version: 2.0  |  Created: October 2026  |  AHQS Healthcare Quality Solutions</t>
  </si>
  <si>
    <t xml:space="preserve">Doc_Types</t>
  </si>
  <si>
    <t xml:space="preserve">Doc_Status</t>
  </si>
  <si>
    <t xml:space="preserve">Departments</t>
  </si>
  <si>
    <t xml:space="preserve">SOP</t>
  </si>
  <si>
    <t xml:space="preserve">Draft</t>
  </si>
  <si>
    <t xml:space="preserve">Laboratory</t>
  </si>
  <si>
    <t xml:space="preserve">Policy</t>
  </si>
  <si>
    <t xml:space="preserve">Under Review</t>
  </si>
  <si>
    <t xml:space="preserve">Quality</t>
  </si>
  <si>
    <t xml:space="preserve">Form</t>
  </si>
  <si>
    <t xml:space="preserve">Approved</t>
  </si>
  <si>
    <t xml:space="preserve">Safety</t>
  </si>
  <si>
    <t xml:space="preserve">Manual</t>
  </si>
  <si>
    <t xml:space="preserve">Active</t>
  </si>
  <si>
    <t xml:space="preserve">Administration</t>
  </si>
  <si>
    <t xml:space="preserve">Guideline</t>
  </si>
  <si>
    <t xml:space="preserve">Superseded</t>
  </si>
  <si>
    <t xml:space="preserve">IT</t>
  </si>
  <si>
    <t xml:space="preserve">Work Instruction</t>
  </si>
  <si>
    <t xml:space="preserve">Archived</t>
  </si>
  <si>
    <t xml:space="preserve">HR</t>
  </si>
  <si>
    <t xml:space="preserve">Record</t>
  </si>
  <si>
    <t xml:space="preserve">All</t>
  </si>
  <si>
    <t xml:space="preserve">#</t>
  </si>
  <si>
    <t xml:space="preserve">Doc ID</t>
  </si>
  <si>
    <t xml:space="preserve">Document Title</t>
  </si>
  <si>
    <t xml:space="preserve">Type</t>
  </si>
  <si>
    <t xml:space="preserve">Version</t>
  </si>
  <si>
    <t xml:space="preserve">Status</t>
  </si>
  <si>
    <t xml:space="preserve">Author</t>
  </si>
  <si>
    <t xml:space="preserve">Approved By</t>
  </si>
  <si>
    <t xml:space="preserve">Effective Date</t>
  </si>
  <si>
    <t xml:space="preserve">Next Review</t>
  </si>
  <si>
    <t xml:space="preserve">Department</t>
  </si>
  <si>
    <t xml:space="preserve">Distribution</t>
  </si>
  <si>
    <t xml:space="preserve">Location/Link</t>
  </si>
  <si>
    <t xml:space="preserve">Review Status</t>
  </si>
  <si>
    <t xml:space="preserve">Days to Review</t>
  </si>
  <si>
    <t xml:space="preserve">DOC-001</t>
  </si>
  <si>
    <t xml:space="preserve">Sample Receipt and Accessioning SOP</t>
  </si>
  <si>
    <t xml:space="preserve">3.1</t>
  </si>
  <si>
    <t xml:space="preserve">Lab Tech</t>
  </si>
  <si>
    <t xml:space="preserve">Lab Manager</t>
  </si>
  <si>
    <t xml:space="preserve">2026-01-01</t>
  </si>
  <si>
    <t xml:space="preserve">2027-01-01</t>
  </si>
  <si>
    <t xml:space="preserve">All lab staff</t>
  </si>
  <si>
    <t xml:space="preserve">Shared Drive / SOP-001</t>
  </si>
  <si>
    <t xml:space="preserve">DOC-002</t>
  </si>
  <si>
    <t xml:space="preserve">Critical Value Notification Policy</t>
  </si>
  <si>
    <t xml:space="preserve">2.0</t>
  </si>
  <si>
    <t xml:space="preserve">Quality Officer</t>
  </si>
  <si>
    <t xml:space="preserve">Medical Director</t>
  </si>
  <si>
    <t xml:space="preserve">2026-01-15</t>
  </si>
  <si>
    <t xml:space="preserve">2027-01-15</t>
  </si>
  <si>
    <t xml:space="preserve">All staff</t>
  </si>
  <si>
    <t xml:space="preserve">Shared Drive / POL-002</t>
  </si>
  <si>
    <t xml:space="preserve">DOC-003</t>
  </si>
  <si>
    <t xml:space="preserve">Equipment Calibration Record Form</t>
  </si>
  <si>
    <t xml:space="preserve">1.5</t>
  </si>
  <si>
    <t xml:space="preserve">Quality Manager</t>
  </si>
  <si>
    <t xml:space="preserve">2026-02-01</t>
  </si>
  <si>
    <t xml:space="preserve">2026-11-01</t>
  </si>
  <si>
    <t xml:space="preserve">Lab staff</t>
  </si>
  <si>
    <t xml:space="preserve">Shared Drive / FRM-003</t>
  </si>
  <si>
    <t xml:space="preserve">DOC-004</t>
  </si>
  <si>
    <t xml:space="preserve">Laboratory Safety Manual</t>
  </si>
  <si>
    <t xml:space="preserve">4.0</t>
  </si>
  <si>
    <t xml:space="preserve">Safety Officer</t>
  </si>
  <si>
    <t xml:space="preserve">Lab Director</t>
  </si>
  <si>
    <t xml:space="preserve">Shared Drive / MAN-004</t>
  </si>
  <si>
    <t xml:space="preserve">DOC-005</t>
  </si>
  <si>
    <t xml:space="preserve">CAPA Investigation Form</t>
  </si>
  <si>
    <t xml:space="preserve">2.1</t>
  </si>
  <si>
    <t xml:space="preserve">2025-08-01</t>
  </si>
  <si>
    <t xml:space="preserve">2026-08-01</t>
  </si>
  <si>
    <t xml:space="preserve">Quality team</t>
  </si>
  <si>
    <t xml:space="preserve">Shared Drive / FRM-005</t>
  </si>
  <si>
    <t xml:space="preserve">DOC-006</t>
  </si>
  <si>
    <t xml:space="preserve">Quality Management System Manual</t>
  </si>
  <si>
    <t xml:space="preserve">5.0</t>
  </si>
  <si>
    <t xml:space="preserve">2026-03-01</t>
  </si>
  <si>
    <t xml:space="preserve">2027-03-01</t>
  </si>
  <si>
    <t xml:space="preserve">Shared Drive / MAN-006</t>
  </si>
  <si>
    <t xml:space="preserve">DOC-007</t>
  </si>
  <si>
    <t xml:space="preserve">Specimen Rejection Criteria</t>
  </si>
  <si>
    <t xml:space="preserve">2.3</t>
  </si>
  <si>
    <t xml:space="preserve">Lab Supervisor</t>
  </si>
  <si>
    <t xml:space="preserve">2026-02-15</t>
  </si>
  <si>
    <t xml:space="preserve">2027-02-15</t>
  </si>
  <si>
    <t xml:space="preserve">Shared Drive / SOP-007</t>
  </si>
  <si>
    <t xml:space="preserve">DOC-008</t>
  </si>
  <si>
    <t xml:space="preserve">Competency Assessment Procedure</t>
  </si>
  <si>
    <t xml:space="preserve">1.2</t>
  </si>
  <si>
    <t xml:space="preserve">HR Manager</t>
  </si>
  <si>
    <t xml:space="preserve">2026-01-20</t>
  </si>
  <si>
    <t xml:space="preserve">2026-10-20</t>
  </si>
  <si>
    <t xml:space="preserve">Shared Drive / SOP-008</t>
  </si>
  <si>
    <t xml:space="preserve">DOC-009</t>
  </si>
  <si>
    <t xml:space="preserve">Proficiency Testing Procedure</t>
  </si>
  <si>
    <t xml:space="preserve">3.0</t>
  </si>
  <si>
    <t xml:space="preserve">2026-01-10</t>
  </si>
  <si>
    <t xml:space="preserve">2027-01-10</t>
  </si>
  <si>
    <t xml:space="preserve">Shared Drive / SOP-009</t>
  </si>
  <si>
    <t xml:space="preserve">DOC-010</t>
  </si>
  <si>
    <t xml:space="preserve">Temperature Monitoring Log Form</t>
  </si>
  <si>
    <t xml:space="preserve">1.0</t>
  </si>
  <si>
    <t xml:space="preserve">2026-12-01</t>
  </si>
  <si>
    <t xml:space="preserve">Shared Drive / FRM-010</t>
  </si>
  <si>
    <t xml:space="preserve">Document Control Dashboard</t>
  </si>
  <si>
    <t xml:space="preserve">Total Documents</t>
  </si>
  <si>
    <t xml:space="preserve">Overdue Reviews</t>
  </si>
  <si>
    <t xml:space="preserve">Due Soon</t>
  </si>
  <si>
    <t xml:space="preserve">Drafts</t>
  </si>
  <si>
    <t xml:space="preserve">Documents by Type</t>
  </si>
  <si>
    <t xml:space="preserve">Count</t>
  </si>
  <si>
    <t xml:space="preserve">Documents by Status</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</si>
</sst>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22"/>
      <color rgb="FF071F3B"/>
      <name val="Calibri"/>
      <family val="0"/>
      <charset val="1"/>
    </font>
    <font>
      <i val="true"/>
      <sz val="11"/>
      <color rgb="FF087F83"/>
      <name val="Calibri"/>
      <family val="0"/>
      <charset val="1"/>
    </font>
    <font>
      <sz val="11"/>
      <color rgb="FF667789"/>
      <name val="Calibri"/>
      <family val="0"/>
      <charset val="1"/>
    </font>
    <font>
      <b val="true"/>
      <sz val="13"/>
      <color rgb="FF071F3B"/>
      <name val="Calibri"/>
      <family val="0"/>
      <charset val="1"/>
    </font>
    <font>
      <sz val="10"/>
      <color rgb="FF173047"/>
      <name val="Calibri"/>
      <family val="0"/>
      <charset val="1"/>
    </font>
    <font>
      <i val="true"/>
      <sz val="9"/>
      <color rgb="FF667789"/>
      <name val="Calibri"/>
      <family val="0"/>
      <charset val="1"/>
    </font>
    <font>
      <sz val="9"/>
      <color rgb="FF667789"/>
      <name val="Calibri"/>
      <family val="0"/>
      <charset val="1"/>
    </font>
    <font>
      <b val="true"/>
      <sz val="11"/>
      <color rgb="FFFFFFFF"/>
      <name val="Calibri"/>
      <family val="0"/>
      <charset val="1"/>
    </font>
    <font>
      <b val="true"/>
      <sz val="10"/>
      <color rgb="FF173047"/>
      <name val="Calibri"/>
      <family val="0"/>
      <charset val="1"/>
    </font>
    <font>
      <b val="true"/>
      <sz val="18"/>
      <color rgb="FF071F3B"/>
      <name val="Calibri"/>
      <family val="0"/>
      <charset val="1"/>
    </font>
    <font>
      <b val="true"/>
      <sz val="9"/>
      <color rgb="FFD4E2EB"/>
      <name val="Calibri"/>
      <family val="0"/>
      <charset val="1"/>
    </font>
    <font>
      <b val="true"/>
      <sz val="22"/>
      <color rgb="FFF0CB67"/>
      <name val="Calibri"/>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071F3B"/>
        <bgColor rgb="FF173047"/>
      </patternFill>
    </fill>
    <fill>
      <patternFill patternType="solid">
        <fgColor rgb="FF087F83"/>
        <bgColor rgb="FF0066CC"/>
      </patternFill>
    </fill>
    <fill>
      <patternFill patternType="solid">
        <fgColor rgb="FFEAF7F7"/>
        <bgColor rgb="FFFFFFFF"/>
      </patternFill>
    </fill>
  </fills>
  <borders count="3">
    <border diagonalUp="false" diagonalDown="false">
      <left/>
      <right/>
      <top/>
      <bottom/>
      <diagonal/>
    </border>
    <border diagonalUp="false" diagonalDown="false">
      <left/>
      <right/>
      <top/>
      <bottom style="medium">
        <color rgb="FFD8A72B"/>
      </bottom>
      <diagonal/>
    </border>
    <border diagonalUp="false" diagonalDown="false">
      <left style="thin">
        <color rgb="FFDCE6EB"/>
      </left>
      <right style="thin">
        <color rgb="FFDCE6EB"/>
      </right>
      <top style="thin">
        <color rgb="FFDCE6EB"/>
      </top>
      <bottom style="thin">
        <color rgb="FFDC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87F83"/>
          <bgColor rgb="FF000000"/>
        </patternFill>
      </fill>
    </dxf>
    <dxf>
      <fill>
        <patternFill patternType="solid">
          <bgColor rgb="FF000000"/>
        </patternFill>
      </fill>
    </dxf>
    <dxf>
      <fill>
        <patternFill patternType="solid">
          <fgColor rgb="FF173047"/>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6B6B"/>
          <bgColor rgb="FF000000"/>
        </patternFill>
      </fill>
    </dxf>
    <dxf>
      <fill>
        <patternFill patternType="solid">
          <fgColor rgb="FFFFE066"/>
          <bgColor rgb="FF000000"/>
        </patternFill>
      </fill>
    </dxf>
    <dxf>
      <fill>
        <patternFill patternType="solid">
          <fgColor rgb="FFEAF7F7"/>
          <bgColor rgb="FF000000"/>
        </patternFill>
      </fill>
    </dxf>
    <dxf>
      <font>
        <b val="1"/>
        <color rgb="FFFFFFFF"/>
      </font>
      <fill>
        <patternFill>
          <bgColor rgb="FFFF6B6B"/>
        </patternFill>
      </fill>
    </dxf>
    <dxf>
      <fill>
        <patternFill>
          <bgColor rgb="FFFFE06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67789"/>
      <rgbColor rgb="FF800080"/>
      <rgbColor rgb="FF087F83"/>
      <rgbColor rgb="FFC0C0C0"/>
      <rgbColor rgb="FF878787"/>
      <rgbColor rgb="FF93A9CE"/>
      <rgbColor rgb="FFAB4744"/>
      <rgbColor rgb="FFFFFFCC"/>
      <rgbColor rgb="FFEAF7F7"/>
      <rgbColor rgb="FF660066"/>
      <rgbColor rgb="FFFF6B6B"/>
      <rgbColor rgb="FF0066CC"/>
      <rgbColor rgb="FFD9D9D9"/>
      <rgbColor rgb="FF000080"/>
      <rgbColor rgb="FFFF00FF"/>
      <rgbColor rgb="FFFFFF00"/>
      <rgbColor rgb="FF00FFFF"/>
      <rgbColor rgb="FF800080"/>
      <rgbColor rgb="FF800000"/>
      <rgbColor rgb="FF4F81BD"/>
      <rgbColor rgb="FF0000FF"/>
      <rgbColor rgb="FF00CCFF"/>
      <rgbColor rgb="FFDCE6EB"/>
      <rgbColor rgb="FFD4E2EB"/>
      <rgbColor rgb="FFFFE066"/>
      <rgbColor rgb="FF99CCFF"/>
      <rgbColor rgb="FFFF99CC"/>
      <rgbColor rgb="FFCC99FF"/>
      <rgbColor rgb="FFF0CB67"/>
      <rgbColor rgb="FF4672A8"/>
      <rgbColor rgb="FF33CCCC"/>
      <rgbColor rgb="FF99CC00"/>
      <rgbColor rgb="FFFFCC00"/>
      <rgbColor rgb="FFD8A72B"/>
      <rgbColor rgb="FFDC853E"/>
      <rgbColor rgb="FF725990"/>
      <rgbColor rgb="FF8AA64F"/>
      <rgbColor rgb="FF173047"/>
      <rgbColor rgb="FF4299B0"/>
      <rgbColor rgb="FF071F3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Documents by Type</a:t>
            </a:r>
          </a:p>
        </c:rich>
      </c:tx>
      <c:overlay val="0"/>
      <c:spPr>
        <a:noFill/>
        <a:ln w="0">
          <a:noFill/>
        </a:ln>
      </c:spPr>
    </c:title>
    <c:autoTitleDeleted val="0"/>
    <c:plotArea>
      <c:pieChart>
        <c:varyColors val="1"/>
        <c:ser>
          <c:idx val="0"/>
          <c:order val="0"/>
          <c:tx>
            <c:strRef>
              <c:f>Dashboard!C10</c:f>
              <c:strCache>
                <c:ptCount val="1"/>
                <c:pt idx="0">
                  <c:v>Count</c:v>
                </c:pt>
              </c:strCache>
            </c:strRef>
          </c:tx>
          <c:spPr>
            <a:solidFill>
              <a:srgbClr val="4F81BD"/>
            </a:solidFill>
            <a:ln w="12600">
              <a:noFill/>
            </a:ln>
          </c:spPr>
          <c:explosion val="0"/>
          <c:dPt>
            <c:idx val="0"/>
            <c:spPr>
              <a:solidFill>
                <a:srgbClr val="4672A8"/>
              </a:solidFill>
              <a:ln w="12600">
                <a:noFill/>
              </a:ln>
            </c:spPr>
          </c:dPt>
          <c:dPt>
            <c:idx val="1"/>
            <c:spPr>
              <a:solidFill>
                <a:srgbClr val="AB4744"/>
              </a:solidFill>
              <a:ln w="12600">
                <a:noFill/>
              </a:ln>
            </c:spPr>
          </c:dPt>
          <c:dPt>
            <c:idx val="2"/>
            <c:spPr>
              <a:solidFill>
                <a:srgbClr val="8AA64F"/>
              </a:solidFill>
              <a:ln w="12600">
                <a:noFill/>
              </a:ln>
            </c:spPr>
          </c:dPt>
          <c:dPt>
            <c:idx val="3"/>
            <c:spPr>
              <a:solidFill>
                <a:srgbClr val="725990"/>
              </a:solidFill>
              <a:ln w="12600">
                <a:noFill/>
              </a:ln>
            </c:spPr>
          </c:dPt>
          <c:dPt>
            <c:idx val="4"/>
            <c:spPr>
              <a:solidFill>
                <a:srgbClr val="4299B0"/>
              </a:solidFill>
              <a:ln w="12600">
                <a:noFill/>
              </a:ln>
            </c:spPr>
          </c:dPt>
          <c:dPt>
            <c:idx val="5"/>
            <c:spPr>
              <a:solidFill>
                <a:srgbClr val="DC853E"/>
              </a:solidFill>
              <a:ln w="12600">
                <a:noFill/>
              </a:ln>
            </c:spPr>
          </c:dPt>
          <c:dPt>
            <c:idx val="6"/>
            <c:spPr>
              <a:solidFill>
                <a:srgbClr val="93A9CE"/>
              </a:solidFill>
              <a:ln w="12600">
                <a:no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5"/>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6"/>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Dashboard!$B$11:$B$17</c:f>
              <c:strCache>
                <c:ptCount val="7"/>
                <c:pt idx="0">
                  <c:v>SOP</c:v>
                </c:pt>
                <c:pt idx="1">
                  <c:v>Policy</c:v>
                </c:pt>
                <c:pt idx="2">
                  <c:v>Form</c:v>
                </c:pt>
                <c:pt idx="3">
                  <c:v>Manual</c:v>
                </c:pt>
                <c:pt idx="4">
                  <c:v>Guideline</c:v>
                </c:pt>
                <c:pt idx="5">
                  <c:v>Work Instruction</c:v>
                </c:pt>
                <c:pt idx="6">
                  <c:v>Record</c:v>
                </c:pt>
              </c:strCache>
            </c:strRef>
          </c:cat>
          <c:val>
            <c:numRef>
              <c:f>Dashboard!$C$11:$C$17</c:f>
              <c:numCache>
                <c:formatCode>General</c:formatCode>
                <c:ptCount val="7"/>
                <c:pt idx="0">
                  <c:v>4</c:v>
                </c:pt>
                <c:pt idx="1">
                  <c:v>1</c:v>
                </c:pt>
                <c:pt idx="2">
                  <c:v>3</c:v>
                </c:pt>
                <c:pt idx="3">
                  <c:v>2</c:v>
                </c:pt>
                <c:pt idx="4">
                  <c:v>0</c:v>
                </c:pt>
                <c:pt idx="5">
                  <c:v>0</c:v>
                </c:pt>
                <c:pt idx="6">
                  <c:v>0</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Documents by Status</a:t>
            </a:r>
          </a:p>
        </c:rich>
      </c:tx>
      <c:overlay val="0"/>
      <c:spPr>
        <a:noFill/>
        <a:ln w="0">
          <a:noFill/>
        </a:ln>
      </c:spPr>
    </c:title>
    <c:autoTitleDeleted val="0"/>
    <c:plotArea>
      <c:barChart>
        <c:barDir val="col"/>
        <c:grouping val="clustered"/>
        <c:varyColors val="0"/>
        <c:ser>
          <c:idx val="0"/>
          <c:order val="0"/>
          <c:tx>
            <c:strRef>
              <c:f>Dashboard!C23</c:f>
              <c:strCache>
                <c:ptCount val="1"/>
                <c:pt idx="0">
                  <c:v>Count</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Dashboard!$B$24:$B$29</c:f>
              <c:strCache>
                <c:ptCount val="6"/>
                <c:pt idx="0">
                  <c:v>Draft</c:v>
                </c:pt>
                <c:pt idx="1">
                  <c:v>Under Review</c:v>
                </c:pt>
                <c:pt idx="2">
                  <c:v>Approved</c:v>
                </c:pt>
                <c:pt idx="3">
                  <c:v>Active</c:v>
                </c:pt>
                <c:pt idx="4">
                  <c:v>Superseded</c:v>
                </c:pt>
                <c:pt idx="5">
                  <c:v>Archived</c:v>
                </c:pt>
              </c:strCache>
            </c:strRef>
          </c:cat>
          <c:val>
            <c:numRef>
              <c:f>Dashboard!$C$24:$C$29</c:f>
              <c:numCache>
                <c:formatCode>General</c:formatCode>
                <c:ptCount val="6"/>
                <c:pt idx="0">
                  <c:v>1</c:v>
                </c:pt>
                <c:pt idx="1">
                  <c:v>1</c:v>
                </c:pt>
                <c:pt idx="2">
                  <c:v>0</c:v>
                </c:pt>
                <c:pt idx="3">
                  <c:v>8</c:v>
                </c:pt>
                <c:pt idx="4">
                  <c:v>0</c:v>
                </c:pt>
                <c:pt idx="5">
                  <c:v>0</c:v>
                </c:pt>
              </c:numCache>
            </c:numRef>
          </c:val>
        </c:ser>
        <c:gapWidth val="150"/>
        <c:overlap val="0"/>
        <c:axId val="30883715"/>
        <c:axId val="6926623"/>
      </c:barChart>
      <c:catAx>
        <c:axId val="308837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26623"/>
        <c:crosses val="autoZero"/>
        <c:auto val="1"/>
        <c:lblAlgn val="ctr"/>
        <c:lblOffset val="100"/>
        <c:noMultiLvlLbl val="0"/>
      </c:catAx>
      <c:valAx>
        <c:axId val="692662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088371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1095120</xdr:colOff>
      <xdr:row>4</xdr:row>
      <xdr:rowOff>94680</xdr:rowOff>
    </xdr:to>
    <xdr:pic>
      <xdr:nvPicPr>
        <xdr:cNvPr id="1" name="Image 1" descr="Picture"/>
        <xdr:cNvPicPr/>
      </xdr:nvPicPr>
      <xdr:blipFill>
        <a:blip r:embed="rId1"/>
        <a:stretch/>
      </xdr:blipFill>
      <xdr:spPr>
        <a:xfrm>
          <a:off x="211320" y="190440"/>
          <a:ext cx="1095120" cy="666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0</xdr:rowOff>
    </xdr:from>
    <xdr:to>
      <xdr:col>8</xdr:col>
      <xdr:colOff>372600</xdr:colOff>
      <xdr:row>21</xdr:row>
      <xdr:rowOff>288720</xdr:rowOff>
    </xdr:to>
    <xdr:graphicFrame>
      <xdr:nvGraphicFramePr>
        <xdr:cNvPr id="2" name="Chart 1"/>
        <xdr:cNvGraphicFramePr/>
      </xdr:nvGraphicFramePr>
      <xdr:xfrm>
        <a:off x="3171960" y="193356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0</xdr:rowOff>
    </xdr:from>
    <xdr:to>
      <xdr:col>9</xdr:col>
      <xdr:colOff>105840</xdr:colOff>
      <xdr:row>35</xdr:row>
      <xdr:rowOff>98280</xdr:rowOff>
    </xdr:to>
    <xdr:graphicFrame>
      <xdr:nvGraphicFramePr>
        <xdr:cNvPr id="3" name="Chart 2"/>
        <xdr:cNvGraphicFramePr/>
      </xdr:nvGraphicFramePr>
      <xdr:xfrm>
        <a:off x="3171960" y="452448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9: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55"/>
    <col collapsed="false" customWidth="true" hidden="false" outlineLevel="0" max="3" min="3" style="0" width="3"/>
  </cols>
  <sheetData>
    <row r="9" customFormat="false" ht="26.8" hidden="false" customHeight="false" outlineLevel="0" collapsed="false">
      <c r="B9" s="1" t="s">
        <v>0</v>
      </c>
    </row>
    <row r="10" customFormat="false" ht="15" hidden="false" customHeight="false" outlineLevel="0" collapsed="false">
      <c r="B10" s="2" t="s">
        <v>1</v>
      </c>
    </row>
    <row r="12" customFormat="false" ht="15" hidden="false" customHeight="false" outlineLevel="0" collapsed="false">
      <c r="B12" s="3"/>
      <c r="C12" s="3"/>
    </row>
    <row r="13" customFormat="false" ht="49.5" hidden="false" customHeight="true" outlineLevel="0" collapsed="false">
      <c r="B13" s="4" t="s">
        <v>2</v>
      </c>
    </row>
    <row r="15" customFormat="false" ht="16.15" hidden="false" customHeight="false" outlineLevel="0" collapsed="false">
      <c r="B15" s="5" t="s">
        <v>3</v>
      </c>
    </row>
    <row r="16" customFormat="false" ht="15" hidden="false" customHeight="false" outlineLevel="0" collapsed="false">
      <c r="B16" s="6" t="s">
        <v>4</v>
      </c>
    </row>
    <row r="17" customFormat="false" ht="15" hidden="false" customHeight="false" outlineLevel="0" collapsed="false">
      <c r="B17" s="6" t="s">
        <v>5</v>
      </c>
    </row>
    <row r="18" customFormat="false" ht="15" hidden="false" customHeight="false" outlineLevel="0" collapsed="false">
      <c r="B18" s="6" t="s">
        <v>6</v>
      </c>
    </row>
    <row r="19" customFormat="false" ht="15" hidden="false" customHeight="false" outlineLevel="0" collapsed="false">
      <c r="B19" s="6" t="s">
        <v>7</v>
      </c>
    </row>
    <row r="20" customFormat="false" ht="15" hidden="false" customHeight="false" outlineLevel="0" collapsed="false">
      <c r="B20" s="6" t="s">
        <v>8</v>
      </c>
    </row>
    <row r="21" customFormat="false" ht="15" hidden="false" customHeight="false" outlineLevel="0" collapsed="false">
      <c r="B21" s="6" t="s">
        <v>9</v>
      </c>
    </row>
    <row r="23" customFormat="false" ht="16.15" hidden="false" customHeight="false" outlineLevel="0" collapsed="false">
      <c r="B23" s="5" t="s">
        <v>10</v>
      </c>
    </row>
    <row r="24" customFormat="false" ht="15" hidden="false" customHeight="false" outlineLevel="0" collapsed="false">
      <c r="B24" s="6" t="s">
        <v>11</v>
      </c>
    </row>
    <row r="25" customFormat="false" ht="15" hidden="false" customHeight="false" outlineLevel="0" collapsed="false">
      <c r="B25" s="6" t="s">
        <v>12</v>
      </c>
    </row>
    <row r="26" customFormat="false" ht="15" hidden="false" customHeight="false" outlineLevel="0" collapsed="false">
      <c r="B26" s="6" t="s">
        <v>13</v>
      </c>
    </row>
    <row r="27" customFormat="false" ht="15" hidden="false" customHeight="false" outlineLevel="0" collapsed="false">
      <c r="B27" s="6" t="s">
        <v>14</v>
      </c>
    </row>
    <row r="28" customFormat="false" ht="15" hidden="false" customHeight="false" outlineLevel="0" collapsed="false">
      <c r="B28" s="6" t="s">
        <v>15</v>
      </c>
    </row>
    <row r="29" customFormat="false" ht="15" hidden="false" customHeight="false" outlineLevel="0" collapsed="false">
      <c r="B29" s="6" t="s">
        <v>16</v>
      </c>
    </row>
    <row r="31" customFormat="false" ht="16.15" hidden="false" customHeight="false" outlineLevel="0" collapsed="false">
      <c r="B31" s="5" t="s">
        <v>17</v>
      </c>
    </row>
    <row r="32" customFormat="false" ht="64.5" hidden="false" customHeight="true" outlineLevel="0" collapsed="false">
      <c r="B32" s="7" t="s">
        <v>18</v>
      </c>
    </row>
    <row r="34" customFormat="false" ht="15" hidden="false" customHeight="false" outlineLevel="0" collapsed="false">
      <c r="B34" s="8"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25"/>
  </cols>
  <sheetData>
    <row r="1" customFormat="false" ht="15" hidden="false" customHeight="false" outlineLevel="0" collapsed="false">
      <c r="A1" s="9" t="s">
        <v>20</v>
      </c>
      <c r="B1" s="9" t="s">
        <v>21</v>
      </c>
      <c r="C1" s="9" t="s">
        <v>22</v>
      </c>
    </row>
    <row r="2" customFormat="false" ht="15" hidden="false" customHeight="false" outlineLevel="0" collapsed="false">
      <c r="A2" s="10" t="s">
        <v>23</v>
      </c>
      <c r="B2" s="10" t="s">
        <v>24</v>
      </c>
      <c r="C2" s="10" t="s">
        <v>25</v>
      </c>
    </row>
    <row r="3" customFormat="false" ht="15" hidden="false" customHeight="false" outlineLevel="0" collapsed="false">
      <c r="A3" s="10" t="s">
        <v>26</v>
      </c>
      <c r="B3" s="10" t="s">
        <v>27</v>
      </c>
      <c r="C3" s="10" t="s">
        <v>28</v>
      </c>
    </row>
    <row r="4" customFormat="false" ht="15" hidden="false" customHeight="false" outlineLevel="0" collapsed="false">
      <c r="A4" s="10" t="s">
        <v>29</v>
      </c>
      <c r="B4" s="10" t="s">
        <v>30</v>
      </c>
      <c r="C4" s="10" t="s">
        <v>31</v>
      </c>
    </row>
    <row r="5" customFormat="false" ht="15" hidden="false" customHeight="false" outlineLevel="0" collapsed="false">
      <c r="A5" s="10" t="s">
        <v>32</v>
      </c>
      <c r="B5" s="10" t="s">
        <v>33</v>
      </c>
      <c r="C5" s="10" t="s">
        <v>34</v>
      </c>
    </row>
    <row r="6" customFormat="false" ht="15" hidden="false" customHeight="false" outlineLevel="0" collapsed="false">
      <c r="A6" s="10" t="s">
        <v>35</v>
      </c>
      <c r="B6" s="10" t="s">
        <v>36</v>
      </c>
      <c r="C6" s="10" t="s">
        <v>37</v>
      </c>
    </row>
    <row r="7" customFormat="false" ht="15" hidden="false" customHeight="false" outlineLevel="0" collapsed="false">
      <c r="A7" s="10" t="s">
        <v>38</v>
      </c>
      <c r="B7" s="10" t="s">
        <v>39</v>
      </c>
      <c r="C7" s="10" t="s">
        <v>40</v>
      </c>
    </row>
    <row r="8" customFormat="false" ht="15" hidden="false" customHeight="false" outlineLevel="0" collapsed="false">
      <c r="A8" s="10" t="s">
        <v>41</v>
      </c>
      <c r="C8" s="10"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30"/>
    <col collapsed="false" customWidth="true" hidden="false" outlineLevel="0" max="4" min="4" style="0" width="10"/>
    <col collapsed="false" customWidth="true" hidden="false" outlineLevel="0" max="5" min="5" style="0" width="8"/>
    <col collapsed="false" customWidth="true" hidden="false" outlineLevel="0" max="6" min="6" style="0" width="12"/>
    <col collapsed="false" customWidth="true" hidden="false" outlineLevel="0" max="8" min="7" style="0" width="14"/>
    <col collapsed="false" customWidth="true" hidden="false" outlineLevel="0" max="11" min="9" style="0" width="12"/>
    <col collapsed="false" customWidth="true" hidden="false" outlineLevel="0" max="12" min="12" style="0" width="18"/>
    <col collapsed="false" customWidth="true" hidden="false" outlineLevel="0" max="13" min="13" style="0" width="22"/>
    <col collapsed="false" customWidth="true" hidden="false" outlineLevel="0" max="15" min="14" style="0" width="12"/>
  </cols>
  <sheetData>
    <row r="1" customFormat="false" ht="39.75" hidden="false" customHeight="true" outlineLevel="0" collapsed="false">
      <c r="A1" s="11" t="s">
        <v>43</v>
      </c>
      <c r="B1" s="11" t="s">
        <v>44</v>
      </c>
      <c r="C1" s="11" t="s">
        <v>45</v>
      </c>
      <c r="D1" s="11" t="s">
        <v>46</v>
      </c>
      <c r="E1" s="11" t="s">
        <v>47</v>
      </c>
      <c r="F1" s="11" t="s">
        <v>48</v>
      </c>
      <c r="G1" s="11" t="s">
        <v>49</v>
      </c>
      <c r="H1" s="11" t="s">
        <v>50</v>
      </c>
      <c r="I1" s="11" t="s">
        <v>51</v>
      </c>
      <c r="J1" s="11" t="s">
        <v>52</v>
      </c>
      <c r="K1" s="11" t="s">
        <v>53</v>
      </c>
      <c r="L1" s="11" t="s">
        <v>54</v>
      </c>
      <c r="M1" s="11" t="s">
        <v>55</v>
      </c>
      <c r="N1" s="11" t="s">
        <v>56</v>
      </c>
      <c r="O1" s="11" t="s">
        <v>57</v>
      </c>
    </row>
    <row r="2" customFormat="false" ht="15" hidden="false" customHeight="false" outlineLevel="0" collapsed="false">
      <c r="A2" s="12" t="n">
        <v>1</v>
      </c>
      <c r="B2" s="13" t="s">
        <v>58</v>
      </c>
      <c r="C2" s="14" t="s">
        <v>59</v>
      </c>
      <c r="D2" s="12" t="s">
        <v>23</v>
      </c>
      <c r="E2" s="12" t="s">
        <v>60</v>
      </c>
      <c r="F2" s="12" t="s">
        <v>33</v>
      </c>
      <c r="G2" s="14" t="s">
        <v>61</v>
      </c>
      <c r="H2" s="14" t="s">
        <v>62</v>
      </c>
      <c r="I2" s="12" t="s">
        <v>63</v>
      </c>
      <c r="J2" s="12" t="s">
        <v>64</v>
      </c>
      <c r="K2" s="12" t="s">
        <v>25</v>
      </c>
      <c r="L2" s="14" t="s">
        <v>65</v>
      </c>
      <c r="M2" s="14" t="s">
        <v>66</v>
      </c>
      <c r="N2" s="13" t="str">
        <f aca="true">IF(J2="","",IF(TODAY()&gt;DATEVALUE(J2),"OVERDUE",IF(DATEVALUE(J2)-TODAY()&lt;=30,"DUE SOON","OK")))</f>
        <v>OK</v>
      </c>
      <c r="O2" s="15" t="n">
        <f aca="true">IF(J2="","",IF(TODAY()&gt;DATEVALUE(J2),TODAY()-DATEVALUE(J2),DATEVALUE(J2)-TODAY()))</f>
        <v>86</v>
      </c>
    </row>
    <row r="3" customFormat="false" ht="15" hidden="false" customHeight="false" outlineLevel="0" collapsed="false">
      <c r="A3" s="12" t="n">
        <v>2</v>
      </c>
      <c r="B3" s="13" t="s">
        <v>67</v>
      </c>
      <c r="C3" s="14" t="s">
        <v>68</v>
      </c>
      <c r="D3" s="12" t="s">
        <v>26</v>
      </c>
      <c r="E3" s="12" t="s">
        <v>69</v>
      </c>
      <c r="F3" s="12" t="s">
        <v>33</v>
      </c>
      <c r="G3" s="14" t="s">
        <v>70</v>
      </c>
      <c r="H3" s="14" t="s">
        <v>71</v>
      </c>
      <c r="I3" s="12" t="s">
        <v>72</v>
      </c>
      <c r="J3" s="12" t="s">
        <v>73</v>
      </c>
      <c r="K3" s="12" t="s">
        <v>28</v>
      </c>
      <c r="L3" s="14" t="s">
        <v>74</v>
      </c>
      <c r="M3" s="14" t="s">
        <v>75</v>
      </c>
      <c r="N3" s="13" t="str">
        <f aca="true">IF(J3="","",IF(TODAY()&gt;DATEVALUE(J3),"OVERDUE",IF(DATEVALUE(J3)-TODAY()&lt;=30,"DUE SOON","OK")))</f>
        <v>OK</v>
      </c>
      <c r="O3" s="15" t="n">
        <f aca="true">IF(J3="","",IF(TODAY()&gt;DATEVALUE(J3),TODAY()-DATEVALUE(J3),DATEVALUE(J3)-TODAY()))</f>
        <v>100</v>
      </c>
    </row>
    <row r="4" customFormat="false" ht="15" hidden="false" customHeight="false" outlineLevel="0" collapsed="false">
      <c r="A4" s="12" t="n">
        <v>3</v>
      </c>
      <c r="B4" s="13" t="s">
        <v>76</v>
      </c>
      <c r="C4" s="14" t="s">
        <v>77</v>
      </c>
      <c r="D4" s="12" t="s">
        <v>29</v>
      </c>
      <c r="E4" s="12" t="s">
        <v>78</v>
      </c>
      <c r="F4" s="12" t="s">
        <v>33</v>
      </c>
      <c r="G4" s="14" t="s">
        <v>62</v>
      </c>
      <c r="H4" s="14" t="s">
        <v>79</v>
      </c>
      <c r="I4" s="12" t="s">
        <v>80</v>
      </c>
      <c r="J4" s="12" t="s">
        <v>81</v>
      </c>
      <c r="K4" s="12" t="s">
        <v>25</v>
      </c>
      <c r="L4" s="14" t="s">
        <v>82</v>
      </c>
      <c r="M4" s="14" t="s">
        <v>83</v>
      </c>
      <c r="N4" s="13" t="str">
        <f aca="true">IF(J4="","",IF(TODAY()&gt;DATEVALUE(J4),"OVERDUE",IF(DATEVALUE(J4)-TODAY()&lt;=30,"DUE SOON","OK")))</f>
        <v>DUE SOON</v>
      </c>
      <c r="O4" s="15" t="n">
        <f aca="true">IF(J4="","",IF(TODAY()&gt;DATEVALUE(J4),TODAY()-DATEVALUE(J4),DATEVALUE(J4)-TODAY()))</f>
        <v>25</v>
      </c>
    </row>
    <row r="5" customFormat="false" ht="15" hidden="false" customHeight="false" outlineLevel="0" collapsed="false">
      <c r="A5" s="12" t="n">
        <v>4</v>
      </c>
      <c r="B5" s="13" t="s">
        <v>84</v>
      </c>
      <c r="C5" s="14" t="s">
        <v>85</v>
      </c>
      <c r="D5" s="12" t="s">
        <v>32</v>
      </c>
      <c r="E5" s="12" t="s">
        <v>86</v>
      </c>
      <c r="F5" s="12" t="s">
        <v>33</v>
      </c>
      <c r="G5" s="14" t="s">
        <v>87</v>
      </c>
      <c r="H5" s="14" t="s">
        <v>88</v>
      </c>
      <c r="I5" s="12" t="s">
        <v>63</v>
      </c>
      <c r="J5" s="12" t="s">
        <v>64</v>
      </c>
      <c r="K5" s="12" t="s">
        <v>31</v>
      </c>
      <c r="L5" s="14" t="s">
        <v>74</v>
      </c>
      <c r="M5" s="14" t="s">
        <v>89</v>
      </c>
      <c r="N5" s="13" t="str">
        <f aca="true">IF(J5="","",IF(TODAY()&gt;DATEVALUE(J5),"OVERDUE",IF(DATEVALUE(J5)-TODAY()&lt;=30,"DUE SOON","OK")))</f>
        <v>OK</v>
      </c>
      <c r="O5" s="15" t="n">
        <f aca="true">IF(J5="","",IF(TODAY()&gt;DATEVALUE(J5),TODAY()-DATEVALUE(J5),DATEVALUE(J5)-TODAY()))</f>
        <v>86</v>
      </c>
    </row>
    <row r="6" customFormat="false" ht="15" hidden="false" customHeight="false" outlineLevel="0" collapsed="false">
      <c r="A6" s="12" t="n">
        <v>5</v>
      </c>
      <c r="B6" s="13" t="s">
        <v>90</v>
      </c>
      <c r="C6" s="14" t="s">
        <v>91</v>
      </c>
      <c r="D6" s="12" t="s">
        <v>29</v>
      </c>
      <c r="E6" s="12" t="s">
        <v>92</v>
      </c>
      <c r="F6" s="12" t="s">
        <v>27</v>
      </c>
      <c r="G6" s="14" t="s">
        <v>70</v>
      </c>
      <c r="H6" s="14"/>
      <c r="I6" s="12" t="s">
        <v>93</v>
      </c>
      <c r="J6" s="12" t="s">
        <v>94</v>
      </c>
      <c r="K6" s="12" t="s">
        <v>28</v>
      </c>
      <c r="L6" s="14" t="s">
        <v>95</v>
      </c>
      <c r="M6" s="14" t="s">
        <v>96</v>
      </c>
      <c r="N6" s="13" t="str">
        <f aca="true">IF(J6="","",IF(TODAY()&gt;DATEVALUE(J6),"OVERDUE",IF(DATEVALUE(J6)-TODAY()&lt;=30,"DUE SOON","OK")))</f>
        <v>OVERDUE</v>
      </c>
      <c r="O6" s="15" t="n">
        <f aca="true">IF(J6="","",IF(TODAY()&gt;DATEVALUE(J6),TODAY()-DATEVALUE(J6),DATEVALUE(J6)-TODAY()))</f>
        <v>67</v>
      </c>
    </row>
    <row r="7" customFormat="false" ht="15" hidden="false" customHeight="false" outlineLevel="0" collapsed="false">
      <c r="A7" s="12" t="n">
        <v>6</v>
      </c>
      <c r="B7" s="13" t="s">
        <v>97</v>
      </c>
      <c r="C7" s="14" t="s">
        <v>98</v>
      </c>
      <c r="D7" s="12" t="s">
        <v>32</v>
      </c>
      <c r="E7" s="12" t="s">
        <v>99</v>
      </c>
      <c r="F7" s="12" t="s">
        <v>33</v>
      </c>
      <c r="G7" s="14" t="s">
        <v>79</v>
      </c>
      <c r="H7" s="14" t="s">
        <v>88</v>
      </c>
      <c r="I7" s="12" t="s">
        <v>100</v>
      </c>
      <c r="J7" s="12" t="s">
        <v>101</v>
      </c>
      <c r="K7" s="12" t="s">
        <v>28</v>
      </c>
      <c r="L7" s="14" t="s">
        <v>74</v>
      </c>
      <c r="M7" s="14" t="s">
        <v>102</v>
      </c>
      <c r="N7" s="13" t="str">
        <f aca="true">IF(J7="","",IF(TODAY()&gt;DATEVALUE(J7),"OVERDUE",IF(DATEVALUE(J7)-TODAY()&lt;=30,"DUE SOON","OK")))</f>
        <v>OK</v>
      </c>
      <c r="O7" s="15" t="n">
        <f aca="true">IF(J7="","",IF(TODAY()&gt;DATEVALUE(J7),TODAY()-DATEVALUE(J7),DATEVALUE(J7)-TODAY()))</f>
        <v>145</v>
      </c>
    </row>
    <row r="8" customFormat="false" ht="15" hidden="false" customHeight="false" outlineLevel="0" collapsed="false">
      <c r="A8" s="12" t="n">
        <v>7</v>
      </c>
      <c r="B8" s="13" t="s">
        <v>103</v>
      </c>
      <c r="C8" s="14" t="s">
        <v>104</v>
      </c>
      <c r="D8" s="12" t="s">
        <v>23</v>
      </c>
      <c r="E8" s="12" t="s">
        <v>105</v>
      </c>
      <c r="F8" s="12" t="s">
        <v>33</v>
      </c>
      <c r="G8" s="14" t="s">
        <v>106</v>
      </c>
      <c r="H8" s="14" t="s">
        <v>62</v>
      </c>
      <c r="I8" s="12" t="s">
        <v>107</v>
      </c>
      <c r="J8" s="12" t="s">
        <v>108</v>
      </c>
      <c r="K8" s="12" t="s">
        <v>25</v>
      </c>
      <c r="L8" s="14" t="s">
        <v>82</v>
      </c>
      <c r="M8" s="14" t="s">
        <v>109</v>
      </c>
      <c r="N8" s="13" t="str">
        <f aca="true">IF(J8="","",IF(TODAY()&gt;DATEVALUE(J8),"OVERDUE",IF(DATEVALUE(J8)-TODAY()&lt;=30,"DUE SOON","OK")))</f>
        <v>OK</v>
      </c>
      <c r="O8" s="15" t="n">
        <f aca="true">IF(J8="","",IF(TODAY()&gt;DATEVALUE(J8),TODAY()-DATEVALUE(J8),DATEVALUE(J8)-TODAY()))</f>
        <v>131</v>
      </c>
    </row>
    <row r="9" customFormat="false" ht="15" hidden="false" customHeight="false" outlineLevel="0" collapsed="false">
      <c r="A9" s="12" t="n">
        <v>8</v>
      </c>
      <c r="B9" s="13" t="s">
        <v>110</v>
      </c>
      <c r="C9" s="14" t="s">
        <v>111</v>
      </c>
      <c r="D9" s="12" t="s">
        <v>23</v>
      </c>
      <c r="E9" s="12" t="s">
        <v>112</v>
      </c>
      <c r="F9" s="12" t="s">
        <v>33</v>
      </c>
      <c r="G9" s="14" t="s">
        <v>113</v>
      </c>
      <c r="H9" s="14" t="s">
        <v>88</v>
      </c>
      <c r="I9" s="12" t="s">
        <v>114</v>
      </c>
      <c r="J9" s="12" t="s">
        <v>115</v>
      </c>
      <c r="K9" s="12" t="s">
        <v>40</v>
      </c>
      <c r="L9" s="14" t="s">
        <v>74</v>
      </c>
      <c r="M9" s="14" t="s">
        <v>116</v>
      </c>
      <c r="N9" s="13" t="str">
        <f aca="true">IF(J9="","",IF(TODAY()&gt;DATEVALUE(J9),"OVERDUE",IF(DATEVALUE(J9)-TODAY()&lt;=30,"DUE SOON","OK")))</f>
        <v>DUE SOON</v>
      </c>
      <c r="O9" s="15" t="n">
        <f aca="true">IF(J9="","",IF(TODAY()&gt;DATEVALUE(J9),TODAY()-DATEVALUE(J9),DATEVALUE(J9)-TODAY()))</f>
        <v>13</v>
      </c>
    </row>
    <row r="10" customFormat="false" ht="15" hidden="false" customHeight="false" outlineLevel="0" collapsed="false">
      <c r="A10" s="12" t="n">
        <v>9</v>
      </c>
      <c r="B10" s="13" t="s">
        <v>117</v>
      </c>
      <c r="C10" s="14" t="s">
        <v>118</v>
      </c>
      <c r="D10" s="12" t="s">
        <v>23</v>
      </c>
      <c r="E10" s="12" t="s">
        <v>119</v>
      </c>
      <c r="F10" s="12" t="s">
        <v>33</v>
      </c>
      <c r="G10" s="14" t="s">
        <v>79</v>
      </c>
      <c r="H10" s="14" t="s">
        <v>88</v>
      </c>
      <c r="I10" s="12" t="s">
        <v>120</v>
      </c>
      <c r="J10" s="12" t="s">
        <v>121</v>
      </c>
      <c r="K10" s="12" t="s">
        <v>25</v>
      </c>
      <c r="L10" s="14" t="s">
        <v>82</v>
      </c>
      <c r="M10" s="14" t="s">
        <v>122</v>
      </c>
      <c r="N10" s="13" t="str">
        <f aca="true">IF(J10="","",IF(TODAY()&gt;DATEVALUE(J10),"OVERDUE",IF(DATEVALUE(J10)-TODAY()&lt;=30,"DUE SOON","OK")))</f>
        <v>OK</v>
      </c>
      <c r="O10" s="15" t="n">
        <f aca="true">IF(J10="","",IF(TODAY()&gt;DATEVALUE(J10),TODAY()-DATEVALUE(J10),DATEVALUE(J10)-TODAY()))</f>
        <v>95</v>
      </c>
    </row>
    <row r="11" customFormat="false" ht="15" hidden="false" customHeight="false" outlineLevel="0" collapsed="false">
      <c r="A11" s="12" t="n">
        <v>10</v>
      </c>
      <c r="B11" s="13" t="s">
        <v>123</v>
      </c>
      <c r="C11" s="14" t="s">
        <v>124</v>
      </c>
      <c r="D11" s="12" t="s">
        <v>29</v>
      </c>
      <c r="E11" s="12" t="s">
        <v>125</v>
      </c>
      <c r="F11" s="12" t="s">
        <v>24</v>
      </c>
      <c r="G11" s="14" t="s">
        <v>61</v>
      </c>
      <c r="H11" s="14"/>
      <c r="I11" s="12"/>
      <c r="J11" s="12" t="s">
        <v>126</v>
      </c>
      <c r="K11" s="12" t="s">
        <v>25</v>
      </c>
      <c r="L11" s="14" t="s">
        <v>82</v>
      </c>
      <c r="M11" s="14" t="s">
        <v>127</v>
      </c>
      <c r="N11" s="13" t="str">
        <f aca="true">IF(J11="","",IF(TODAY()&gt;DATEVALUE(J11),"OVERDUE",IF(DATEVALUE(J11)-TODAY()&lt;=30,"DUE SOON","OK")))</f>
        <v>OK</v>
      </c>
      <c r="O11" s="15" t="n">
        <f aca="true">IF(J11="","",IF(TODAY()&gt;DATEVALUE(J11),TODAY()-DATEVALUE(J11),DATEVALUE(J11)-TODAY()))</f>
        <v>55</v>
      </c>
    </row>
    <row r="12" customFormat="false" ht="15" hidden="false" customHeight="false" outlineLevel="0" collapsed="false">
      <c r="A12" s="12" t="n">
        <v>11</v>
      </c>
      <c r="N12" s="13" t="str">
        <f aca="true">IF(J12="","",IF(TODAY()&gt;DATEVALUE(J12),"OVERDUE",IF(DATEVALUE(J12)-TODAY()&lt;=30,"DUE SOON","OK")))</f>
        <v/>
      </c>
      <c r="O12" s="15" t="str">
        <f aca="true">IF(J12="","",IF(TODAY()&gt;DATEVALUE(J12),TODAY()-DATEVALUE(J12),DATEVALUE(J12)-TODAY()))</f>
        <v/>
      </c>
    </row>
    <row r="13" customFormat="false" ht="15" hidden="false" customHeight="false" outlineLevel="0" collapsed="false">
      <c r="A13" s="12" t="n">
        <v>12</v>
      </c>
      <c r="N13" s="13" t="str">
        <f aca="true">IF(J13="","",IF(TODAY()&gt;DATEVALUE(J13),"OVERDUE",IF(DATEVALUE(J13)-TODAY()&lt;=30,"DUE SOON","OK")))</f>
        <v/>
      </c>
      <c r="O13" s="15" t="str">
        <f aca="true">IF(J13="","",IF(TODAY()&gt;DATEVALUE(J13),TODAY()-DATEVALUE(J13),DATEVALUE(J13)-TODAY()))</f>
        <v/>
      </c>
    </row>
    <row r="14" customFormat="false" ht="15" hidden="false" customHeight="false" outlineLevel="0" collapsed="false">
      <c r="A14" s="12" t="n">
        <v>13</v>
      </c>
      <c r="N14" s="13" t="str">
        <f aca="true">IF(J14="","",IF(TODAY()&gt;DATEVALUE(J14),"OVERDUE",IF(DATEVALUE(J14)-TODAY()&lt;=30,"DUE SOON","OK")))</f>
        <v/>
      </c>
      <c r="O14" s="15" t="str">
        <f aca="true">IF(J14="","",IF(TODAY()&gt;DATEVALUE(J14),TODAY()-DATEVALUE(J14),DATEVALUE(J14)-TODAY()))</f>
        <v/>
      </c>
    </row>
    <row r="15" customFormat="false" ht="15" hidden="false" customHeight="false" outlineLevel="0" collapsed="false">
      <c r="A15" s="12" t="n">
        <v>14</v>
      </c>
      <c r="N15" s="13" t="str">
        <f aca="true">IF(J15="","",IF(TODAY()&gt;DATEVALUE(J15),"OVERDUE",IF(DATEVALUE(J15)-TODAY()&lt;=30,"DUE SOON","OK")))</f>
        <v/>
      </c>
      <c r="O15" s="15" t="str">
        <f aca="true">IF(J15="","",IF(TODAY()&gt;DATEVALUE(J15),TODAY()-DATEVALUE(J15),DATEVALUE(J15)-TODAY()))</f>
        <v/>
      </c>
    </row>
    <row r="16" customFormat="false" ht="15" hidden="false" customHeight="false" outlineLevel="0" collapsed="false">
      <c r="A16" s="12" t="n">
        <v>15</v>
      </c>
      <c r="N16" s="13" t="str">
        <f aca="true">IF(J16="","",IF(TODAY()&gt;DATEVALUE(J16),"OVERDUE",IF(DATEVALUE(J16)-TODAY()&lt;=30,"DUE SOON","OK")))</f>
        <v/>
      </c>
      <c r="O16" s="15" t="str">
        <f aca="true">IF(J16="","",IF(TODAY()&gt;DATEVALUE(J16),TODAY()-DATEVALUE(J16),DATEVALUE(J16)-TODAY()))</f>
        <v/>
      </c>
    </row>
    <row r="17" customFormat="false" ht="15" hidden="false" customHeight="false" outlineLevel="0" collapsed="false">
      <c r="A17" s="12" t="n">
        <v>16</v>
      </c>
      <c r="N17" s="13" t="str">
        <f aca="true">IF(J17="","",IF(TODAY()&gt;DATEVALUE(J17),"OVERDUE",IF(DATEVALUE(J17)-TODAY()&lt;=30,"DUE SOON","OK")))</f>
        <v/>
      </c>
      <c r="O17" s="15" t="str">
        <f aca="true">IF(J17="","",IF(TODAY()&gt;DATEVALUE(J17),TODAY()-DATEVALUE(J17),DATEVALUE(J17)-TODAY()))</f>
        <v/>
      </c>
    </row>
    <row r="18" customFormat="false" ht="15" hidden="false" customHeight="false" outlineLevel="0" collapsed="false">
      <c r="A18" s="12" t="n">
        <v>17</v>
      </c>
      <c r="N18" s="13" t="str">
        <f aca="true">IF(J18="","",IF(TODAY()&gt;DATEVALUE(J18),"OVERDUE",IF(DATEVALUE(J18)-TODAY()&lt;=30,"DUE SOON","OK")))</f>
        <v/>
      </c>
      <c r="O18" s="15" t="str">
        <f aca="true">IF(J18="","",IF(TODAY()&gt;DATEVALUE(J18),TODAY()-DATEVALUE(J18),DATEVALUE(J18)-TODAY()))</f>
        <v/>
      </c>
    </row>
    <row r="19" customFormat="false" ht="15" hidden="false" customHeight="false" outlineLevel="0" collapsed="false">
      <c r="A19" s="12" t="n">
        <v>18</v>
      </c>
      <c r="N19" s="13" t="str">
        <f aca="true">IF(J19="","",IF(TODAY()&gt;DATEVALUE(J19),"OVERDUE",IF(DATEVALUE(J19)-TODAY()&lt;=30,"DUE SOON","OK")))</f>
        <v/>
      </c>
      <c r="O19" s="15" t="str">
        <f aca="true">IF(J19="","",IF(TODAY()&gt;DATEVALUE(J19),TODAY()-DATEVALUE(J19),DATEVALUE(J19)-TODAY()))</f>
        <v/>
      </c>
    </row>
    <row r="20" customFormat="false" ht="15" hidden="false" customHeight="false" outlineLevel="0" collapsed="false">
      <c r="A20" s="12" t="n">
        <v>19</v>
      </c>
      <c r="N20" s="13" t="str">
        <f aca="true">IF(J20="","",IF(TODAY()&gt;DATEVALUE(J20),"OVERDUE",IF(DATEVALUE(J20)-TODAY()&lt;=30,"DUE SOON","OK")))</f>
        <v/>
      </c>
      <c r="O20" s="15" t="str">
        <f aca="true">IF(J20="","",IF(TODAY()&gt;DATEVALUE(J20),TODAY()-DATEVALUE(J20),DATEVALUE(J20)-TODAY()))</f>
        <v/>
      </c>
    </row>
    <row r="21" customFormat="false" ht="15" hidden="false" customHeight="false" outlineLevel="0" collapsed="false">
      <c r="A21" s="12" t="n">
        <v>20</v>
      </c>
      <c r="N21" s="13" t="str">
        <f aca="true">IF(J21="","",IF(TODAY()&gt;DATEVALUE(J21),"OVERDUE",IF(DATEVALUE(J21)-TODAY()&lt;=30,"DUE SOON","OK")))</f>
        <v/>
      </c>
      <c r="O21" s="15" t="str">
        <f aca="true">IF(J21="","",IF(TODAY()&gt;DATEVALUE(J21),TODAY()-DATEVALUE(J21),DATEVALUE(J21)-TODAY()))</f>
        <v/>
      </c>
    </row>
    <row r="22" customFormat="false" ht="15" hidden="false" customHeight="false" outlineLevel="0" collapsed="false">
      <c r="A22" s="12" t="n">
        <v>21</v>
      </c>
      <c r="N22" s="13" t="str">
        <f aca="true">IF(J22="","",IF(TODAY()&gt;DATEVALUE(J22),"OVERDUE",IF(DATEVALUE(J22)-TODAY()&lt;=30,"DUE SOON","OK")))</f>
        <v/>
      </c>
      <c r="O22" s="15" t="str">
        <f aca="true">IF(J22="","",IF(TODAY()&gt;DATEVALUE(J22),TODAY()-DATEVALUE(J22),DATEVALUE(J22)-TODAY()))</f>
        <v/>
      </c>
    </row>
    <row r="23" customFormat="false" ht="15" hidden="false" customHeight="false" outlineLevel="0" collapsed="false">
      <c r="A23" s="12" t="n">
        <v>22</v>
      </c>
      <c r="N23" s="13" t="str">
        <f aca="true">IF(J23="","",IF(TODAY()&gt;DATEVALUE(J23),"OVERDUE",IF(DATEVALUE(J23)-TODAY()&lt;=30,"DUE SOON","OK")))</f>
        <v/>
      </c>
      <c r="O23" s="15" t="str">
        <f aca="true">IF(J23="","",IF(TODAY()&gt;DATEVALUE(J23),TODAY()-DATEVALUE(J23),DATEVALUE(J23)-TODAY()))</f>
        <v/>
      </c>
    </row>
    <row r="24" customFormat="false" ht="15" hidden="false" customHeight="false" outlineLevel="0" collapsed="false">
      <c r="A24" s="12" t="n">
        <v>23</v>
      </c>
      <c r="N24" s="13" t="str">
        <f aca="true">IF(J24="","",IF(TODAY()&gt;DATEVALUE(J24),"OVERDUE",IF(DATEVALUE(J24)-TODAY()&lt;=30,"DUE SOON","OK")))</f>
        <v/>
      </c>
      <c r="O24" s="15" t="str">
        <f aca="true">IF(J24="","",IF(TODAY()&gt;DATEVALUE(J24),TODAY()-DATEVALUE(J24),DATEVALUE(J24)-TODAY()))</f>
        <v/>
      </c>
    </row>
    <row r="25" customFormat="false" ht="15" hidden="false" customHeight="false" outlineLevel="0" collapsed="false">
      <c r="A25" s="12" t="n">
        <v>24</v>
      </c>
      <c r="N25" s="13" t="str">
        <f aca="true">IF(J25="","",IF(TODAY()&gt;DATEVALUE(J25),"OVERDUE",IF(DATEVALUE(J25)-TODAY()&lt;=30,"DUE SOON","OK")))</f>
        <v/>
      </c>
      <c r="O25" s="15" t="str">
        <f aca="true">IF(J25="","",IF(TODAY()&gt;DATEVALUE(J25),TODAY()-DATEVALUE(J25),DATEVALUE(J25)-TODAY()))</f>
        <v/>
      </c>
    </row>
    <row r="26" customFormat="false" ht="15" hidden="false" customHeight="false" outlineLevel="0" collapsed="false">
      <c r="A26" s="12" t="n">
        <v>25</v>
      </c>
      <c r="N26" s="13" t="str">
        <f aca="true">IF(J26="","",IF(TODAY()&gt;DATEVALUE(J26),"OVERDUE",IF(DATEVALUE(J26)-TODAY()&lt;=30,"DUE SOON","OK")))</f>
        <v/>
      </c>
      <c r="O26" s="15" t="str">
        <f aca="true">IF(J26="","",IF(TODAY()&gt;DATEVALUE(J26),TODAY()-DATEVALUE(J26),DATEVALUE(J26)-TODAY()))</f>
        <v/>
      </c>
    </row>
    <row r="27" customFormat="false" ht="15" hidden="false" customHeight="false" outlineLevel="0" collapsed="false">
      <c r="A27" s="12" t="n">
        <v>26</v>
      </c>
      <c r="N27" s="13" t="str">
        <f aca="true">IF(J27="","",IF(TODAY()&gt;DATEVALUE(J27),"OVERDUE",IF(DATEVALUE(J27)-TODAY()&lt;=30,"DUE SOON","OK")))</f>
        <v/>
      </c>
      <c r="O27" s="15" t="str">
        <f aca="true">IF(J27="","",IF(TODAY()&gt;DATEVALUE(J27),TODAY()-DATEVALUE(J27),DATEVALUE(J27)-TODAY()))</f>
        <v/>
      </c>
    </row>
    <row r="28" customFormat="false" ht="15" hidden="false" customHeight="false" outlineLevel="0" collapsed="false">
      <c r="A28" s="12" t="n">
        <v>27</v>
      </c>
      <c r="N28" s="13" t="str">
        <f aca="true">IF(J28="","",IF(TODAY()&gt;DATEVALUE(J28),"OVERDUE",IF(DATEVALUE(J28)-TODAY()&lt;=30,"DUE SOON","OK")))</f>
        <v/>
      </c>
      <c r="O28" s="15" t="str">
        <f aca="true">IF(J28="","",IF(TODAY()&gt;DATEVALUE(J28),TODAY()-DATEVALUE(J28),DATEVALUE(J28)-TODAY()))</f>
        <v/>
      </c>
    </row>
    <row r="29" customFormat="false" ht="15" hidden="false" customHeight="false" outlineLevel="0" collapsed="false">
      <c r="A29" s="12" t="n">
        <v>28</v>
      </c>
      <c r="N29" s="13" t="str">
        <f aca="true">IF(J29="","",IF(TODAY()&gt;DATEVALUE(J29),"OVERDUE",IF(DATEVALUE(J29)-TODAY()&lt;=30,"DUE SOON","OK")))</f>
        <v/>
      </c>
      <c r="O29" s="15" t="str">
        <f aca="true">IF(J29="","",IF(TODAY()&gt;DATEVALUE(J29),TODAY()-DATEVALUE(J29),DATEVALUE(J29)-TODAY()))</f>
        <v/>
      </c>
    </row>
    <row r="30" customFormat="false" ht="15" hidden="false" customHeight="false" outlineLevel="0" collapsed="false">
      <c r="A30" s="12" t="n">
        <v>29</v>
      </c>
      <c r="N30" s="13" t="str">
        <f aca="true">IF(J30="","",IF(TODAY()&gt;DATEVALUE(J30),"OVERDUE",IF(DATEVALUE(J30)-TODAY()&lt;=30,"DUE SOON","OK")))</f>
        <v/>
      </c>
      <c r="O30" s="15" t="str">
        <f aca="true">IF(J30="","",IF(TODAY()&gt;DATEVALUE(J30),TODAY()-DATEVALUE(J30),DATEVALUE(J30)-TODAY()))</f>
        <v/>
      </c>
    </row>
    <row r="31" customFormat="false" ht="15" hidden="false" customHeight="false" outlineLevel="0" collapsed="false">
      <c r="A31" s="12" t="n">
        <v>30</v>
      </c>
      <c r="N31" s="13" t="str">
        <f aca="true">IF(J31="","",IF(TODAY()&gt;DATEVALUE(J31),"OVERDUE",IF(DATEVALUE(J31)-TODAY()&lt;=30,"DUE SOON","OK")))</f>
        <v/>
      </c>
      <c r="O31" s="15" t="str">
        <f aca="true">IF(J31="","",IF(TODAY()&gt;DATEVALUE(J31),TODAY()-DATEVALUE(J31),DATEVALUE(J31)-TODAY()))</f>
        <v/>
      </c>
    </row>
    <row r="32" customFormat="false" ht="15" hidden="false" customHeight="false" outlineLevel="0" collapsed="false">
      <c r="A32" s="12" t="n">
        <v>31</v>
      </c>
      <c r="N32" s="13" t="str">
        <f aca="true">IF(J32="","",IF(TODAY()&gt;DATEVALUE(J32),"OVERDUE",IF(DATEVALUE(J32)-TODAY()&lt;=30,"DUE SOON","OK")))</f>
        <v/>
      </c>
      <c r="O32" s="15" t="str">
        <f aca="true">IF(J32="","",IF(TODAY()&gt;DATEVALUE(J32),TODAY()-DATEVALUE(J32),DATEVALUE(J32)-TODAY()))</f>
        <v/>
      </c>
    </row>
    <row r="33" customFormat="false" ht="15" hidden="false" customHeight="false" outlineLevel="0" collapsed="false">
      <c r="A33" s="12" t="n">
        <v>32</v>
      </c>
      <c r="N33" s="13" t="str">
        <f aca="true">IF(J33="","",IF(TODAY()&gt;DATEVALUE(J33),"OVERDUE",IF(DATEVALUE(J33)-TODAY()&lt;=30,"DUE SOON","OK")))</f>
        <v/>
      </c>
      <c r="O33" s="15" t="str">
        <f aca="true">IF(J33="","",IF(TODAY()&gt;DATEVALUE(J33),TODAY()-DATEVALUE(J33),DATEVALUE(J33)-TODAY()))</f>
        <v/>
      </c>
    </row>
    <row r="34" customFormat="false" ht="15" hidden="false" customHeight="false" outlineLevel="0" collapsed="false">
      <c r="A34" s="12" t="n">
        <v>33</v>
      </c>
      <c r="N34" s="13" t="str">
        <f aca="true">IF(J34="","",IF(TODAY()&gt;DATEVALUE(J34),"OVERDUE",IF(DATEVALUE(J34)-TODAY()&lt;=30,"DUE SOON","OK")))</f>
        <v/>
      </c>
      <c r="O34" s="15" t="str">
        <f aca="true">IF(J34="","",IF(TODAY()&gt;DATEVALUE(J34),TODAY()-DATEVALUE(J34),DATEVALUE(J34)-TODAY()))</f>
        <v/>
      </c>
    </row>
    <row r="35" customFormat="false" ht="15" hidden="false" customHeight="false" outlineLevel="0" collapsed="false">
      <c r="A35" s="12" t="n">
        <v>34</v>
      </c>
      <c r="N35" s="13" t="str">
        <f aca="true">IF(J35="","",IF(TODAY()&gt;DATEVALUE(J35),"OVERDUE",IF(DATEVALUE(J35)-TODAY()&lt;=30,"DUE SOON","OK")))</f>
        <v/>
      </c>
      <c r="O35" s="15" t="str">
        <f aca="true">IF(J35="","",IF(TODAY()&gt;DATEVALUE(J35),TODAY()-DATEVALUE(J35),DATEVALUE(J35)-TODAY()))</f>
        <v/>
      </c>
    </row>
    <row r="36" customFormat="false" ht="15" hidden="false" customHeight="false" outlineLevel="0" collapsed="false">
      <c r="A36" s="12" t="n">
        <v>35</v>
      </c>
      <c r="N36" s="13" t="str">
        <f aca="true">IF(J36="","",IF(TODAY()&gt;DATEVALUE(J36),"OVERDUE",IF(DATEVALUE(J36)-TODAY()&lt;=30,"DUE SOON","OK")))</f>
        <v/>
      </c>
      <c r="O36" s="15" t="str">
        <f aca="true">IF(J36="","",IF(TODAY()&gt;DATEVALUE(J36),TODAY()-DATEVALUE(J36),DATEVALUE(J36)-TODAY()))</f>
        <v/>
      </c>
    </row>
    <row r="37" customFormat="false" ht="15" hidden="false" customHeight="false" outlineLevel="0" collapsed="false">
      <c r="A37" s="12" t="n">
        <v>36</v>
      </c>
      <c r="N37" s="13" t="str">
        <f aca="true">IF(J37="","",IF(TODAY()&gt;DATEVALUE(J37),"OVERDUE",IF(DATEVALUE(J37)-TODAY()&lt;=30,"DUE SOON","OK")))</f>
        <v/>
      </c>
      <c r="O37" s="15" t="str">
        <f aca="true">IF(J37="","",IF(TODAY()&gt;DATEVALUE(J37),TODAY()-DATEVALUE(J37),DATEVALUE(J37)-TODAY()))</f>
        <v/>
      </c>
    </row>
    <row r="38" customFormat="false" ht="15" hidden="false" customHeight="false" outlineLevel="0" collapsed="false">
      <c r="A38" s="12" t="n">
        <v>37</v>
      </c>
      <c r="N38" s="13" t="str">
        <f aca="true">IF(J38="","",IF(TODAY()&gt;DATEVALUE(J38),"OVERDUE",IF(DATEVALUE(J38)-TODAY()&lt;=30,"DUE SOON","OK")))</f>
        <v/>
      </c>
      <c r="O38" s="15" t="str">
        <f aca="true">IF(J38="","",IF(TODAY()&gt;DATEVALUE(J38),TODAY()-DATEVALUE(J38),DATEVALUE(J38)-TODAY()))</f>
        <v/>
      </c>
    </row>
    <row r="39" customFormat="false" ht="15" hidden="false" customHeight="false" outlineLevel="0" collapsed="false">
      <c r="A39" s="12" t="n">
        <v>38</v>
      </c>
      <c r="N39" s="13" t="str">
        <f aca="true">IF(J39="","",IF(TODAY()&gt;DATEVALUE(J39),"OVERDUE",IF(DATEVALUE(J39)-TODAY()&lt;=30,"DUE SOON","OK")))</f>
        <v/>
      </c>
      <c r="O39" s="15" t="str">
        <f aca="true">IF(J39="","",IF(TODAY()&gt;DATEVALUE(J39),TODAY()-DATEVALUE(J39),DATEVALUE(J39)-TODAY()))</f>
        <v/>
      </c>
    </row>
    <row r="40" customFormat="false" ht="15" hidden="false" customHeight="false" outlineLevel="0" collapsed="false">
      <c r="A40" s="12" t="n">
        <v>39</v>
      </c>
      <c r="N40" s="13" t="str">
        <f aca="true">IF(J40="","",IF(TODAY()&gt;DATEVALUE(J40),"OVERDUE",IF(DATEVALUE(J40)-TODAY()&lt;=30,"DUE SOON","OK")))</f>
        <v/>
      </c>
      <c r="O40" s="15" t="str">
        <f aca="true">IF(J40="","",IF(TODAY()&gt;DATEVALUE(J40),TODAY()-DATEVALUE(J40),DATEVALUE(J40)-TODAY()))</f>
        <v/>
      </c>
    </row>
    <row r="41" customFormat="false" ht="15" hidden="false" customHeight="false" outlineLevel="0" collapsed="false">
      <c r="A41" s="12" t="n">
        <v>40</v>
      </c>
      <c r="N41" s="13" t="str">
        <f aca="true">IF(J41="","",IF(TODAY()&gt;DATEVALUE(J41),"OVERDUE",IF(DATEVALUE(J41)-TODAY()&lt;=30,"DUE SOON","OK")))</f>
        <v/>
      </c>
      <c r="O41" s="15" t="str">
        <f aca="true">IF(J41="","",IF(TODAY()&gt;DATEVALUE(J41),TODAY()-DATEVALUE(J41),DATEVALUE(J41)-TODAY()))</f>
        <v/>
      </c>
    </row>
  </sheetData>
  <autoFilter ref="A1:O41"/>
  <conditionalFormatting sqref="N2:N41">
    <cfRule type="cellIs" priority="2" operator="equal" aboveAverage="0" equalAverage="0" bottom="0" percent="0" rank="0" text="" dxfId="8">
      <formula>"OVERDUE"</formula>
    </cfRule>
    <cfRule type="cellIs" priority="3" operator="equal" aboveAverage="0" equalAverage="0" bottom="0" percent="0" rank="0" text="" dxfId="9">
      <formula>"DUE SOON"</formula>
    </cfRule>
  </conditionalFormatting>
  <conditionalFormatting sqref="O2:O41">
    <cfRule type="dataBar" priority="4">
      <dataBar showValue="1" minLength="10" maxLength="90">
        <cfvo type="num" val="0"/>
        <cfvo type="num" val="365"/>
        <color rgb="FFD8A72B"/>
      </dataBar>
      <extLst>
        <ext xmlns:x14="http://schemas.microsoft.com/office/spreadsheetml/2009/9/main" uri="{B025F937-C7B1-47D3-B67F-A62EFF666E3E}">
          <x14:id>{117195C0-4B37-43A5-A9F2-9876254723E0}</x14:id>
        </ext>
      </extLst>
    </cfRule>
  </conditionalFormatting>
  <dataValidations count="3">
    <dataValidation allowBlank="true" errorStyle="stop" operator="between" showDropDown="false" showErrorMessage="false" showInputMessage="false" sqref="D2:D41" type="list">
      <formula1>"SOP,Policy,Form,Manual,Guideline,Work Instruction,Record"</formula1>
      <formula2>0</formula2>
    </dataValidation>
    <dataValidation allowBlank="true" errorStyle="stop" operator="between" showDropDown="false" showErrorMessage="false" showInputMessage="false" sqref="F2:F41" type="list">
      <formula1>"Draft,Under Review,Approved,Active,Superseded,Archived"</formula1>
      <formula2>0</formula2>
    </dataValidation>
    <dataValidation allowBlank="true" errorStyle="stop" operator="between" showDropDown="false" showErrorMessage="false" showInputMessage="false" sqref="K2:K41" type="list">
      <formula1>"Laboratory,Quality,Safety,Administration,IT,HR,All"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17195C0-4B37-43A5-A9F2-9876254723E0}">
            <x14:dataBar minLength="10" maxLength="90" axisPosition="none" gradient="true">
              <x14:cfvo type="num">
                <xm:f>0</xm:f>
              </x14:cfvo>
              <x14:cfvo type="num">
                <xm:f>365</xm:f>
              </x14:cfvo>
              <x14:negativeFillColor rgb="FFD8A72B"/>
              <x14:axisColor rgb="FF000000"/>
            </x14:dataBar>
          </x14:cfRule>
          <xm:sqref>O2:O41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12" min="2" style="0" width="14"/>
  </cols>
  <sheetData>
    <row r="2" customFormat="false" ht="31.5" hidden="false" customHeight="true" outlineLevel="0" collapsed="false">
      <c r="B2" s="16" t="s">
        <v>128</v>
      </c>
      <c r="C2" s="16"/>
      <c r="D2" s="16"/>
      <c r="E2" s="16"/>
      <c r="F2" s="16"/>
      <c r="G2" s="16"/>
      <c r="H2" s="16"/>
      <c r="I2" s="16"/>
      <c r="J2" s="16"/>
      <c r="K2" s="16"/>
      <c r="L2" s="16"/>
    </row>
    <row r="4" customFormat="false" ht="21.75" hidden="false" customHeight="true" outlineLevel="0" collapsed="false">
      <c r="B4" s="17" t="s">
        <v>129</v>
      </c>
      <c r="C4" s="17"/>
      <c r="D4" s="17" t="s">
        <v>33</v>
      </c>
      <c r="E4" s="17"/>
      <c r="F4" s="17" t="s">
        <v>130</v>
      </c>
      <c r="G4" s="17"/>
      <c r="H4" s="17" t="s">
        <v>131</v>
      </c>
      <c r="I4" s="17"/>
      <c r="J4" s="17" t="s">
        <v>132</v>
      </c>
      <c r="K4" s="17"/>
    </row>
    <row r="5" customFormat="false" ht="19.5" hidden="false" customHeight="true" outlineLevel="0" collapsed="false">
      <c r="B5" s="18" t="n">
        <f aca="false">COUNTA('Document Register'!B2:B41)</f>
        <v>10</v>
      </c>
      <c r="C5" s="18"/>
      <c r="D5" s="18" t="n">
        <f aca="false">COUNTIF('Document Register'!F2:F41,"Active")</f>
        <v>8</v>
      </c>
      <c r="E5" s="18"/>
      <c r="F5" s="18" t="n">
        <f aca="false">COUNTIF('Document Register'!N2:N41,"OVERDUE")</f>
        <v>1</v>
      </c>
      <c r="G5" s="18"/>
      <c r="H5" s="18" t="n">
        <f aca="false">COUNTIF('Document Register'!N2:N41,"DUE SOON")</f>
        <v>2</v>
      </c>
      <c r="I5" s="18"/>
      <c r="J5" s="18" t="n">
        <f aca="false">COUNTIF('Document Register'!F2:F41,"Draft")</f>
        <v>1</v>
      </c>
      <c r="K5" s="18"/>
    </row>
    <row r="6" customFormat="false" ht="19.5" hidden="false" customHeight="true" outlineLevel="0" collapsed="false">
      <c r="B6" s="18"/>
      <c r="C6" s="18"/>
      <c r="D6" s="18"/>
      <c r="E6" s="18"/>
      <c r="F6" s="18"/>
      <c r="G6" s="18"/>
      <c r="H6" s="18"/>
      <c r="I6" s="18"/>
      <c r="J6" s="18"/>
      <c r="K6" s="18"/>
    </row>
    <row r="9" customFormat="false" ht="24" hidden="false" customHeight="true" outlineLevel="0" collapsed="false">
      <c r="B9" s="19" t="s">
        <v>133</v>
      </c>
      <c r="C9" s="19"/>
      <c r="D9" s="19"/>
      <c r="E9" s="19"/>
      <c r="F9" s="19"/>
      <c r="G9" s="19"/>
    </row>
    <row r="10" customFormat="false" ht="15" hidden="false" customHeight="false" outlineLevel="0" collapsed="false">
      <c r="B10" s="11" t="s">
        <v>46</v>
      </c>
      <c r="C10" s="11" t="s">
        <v>134</v>
      </c>
    </row>
    <row r="11" customFormat="false" ht="15" hidden="false" customHeight="false" outlineLevel="0" collapsed="false">
      <c r="B11" s="14" t="s">
        <v>23</v>
      </c>
      <c r="C11" s="13" t="n">
        <f aca="false">COUNTIF('Document Register'!D2:D41,"SOP")</f>
        <v>4</v>
      </c>
    </row>
    <row r="12" customFormat="false" ht="15" hidden="false" customHeight="false" outlineLevel="0" collapsed="false">
      <c r="B12" s="14" t="s">
        <v>26</v>
      </c>
      <c r="C12" s="13" t="n">
        <f aca="false">COUNTIF('Document Register'!D2:D41,"Policy")</f>
        <v>1</v>
      </c>
    </row>
    <row r="13" customFormat="false" ht="15" hidden="false" customHeight="false" outlineLevel="0" collapsed="false">
      <c r="B13" s="14" t="s">
        <v>29</v>
      </c>
      <c r="C13" s="13" t="n">
        <f aca="false">COUNTIF('Document Register'!D2:D41,"Form")</f>
        <v>3</v>
      </c>
    </row>
    <row r="14" customFormat="false" ht="15" hidden="false" customHeight="false" outlineLevel="0" collapsed="false">
      <c r="B14" s="14" t="s">
        <v>32</v>
      </c>
      <c r="C14" s="13" t="n">
        <f aca="false">COUNTIF('Document Register'!D2:D41,"Manual")</f>
        <v>2</v>
      </c>
    </row>
    <row r="15" customFormat="false" ht="15" hidden="false" customHeight="false" outlineLevel="0" collapsed="false">
      <c r="B15" s="14" t="s">
        <v>35</v>
      </c>
      <c r="C15" s="13" t="n">
        <f aca="false">COUNTIF('Document Register'!D2:D41,"Guideline")</f>
        <v>0</v>
      </c>
    </row>
    <row r="16" customFormat="false" ht="15" hidden="false" customHeight="false" outlineLevel="0" collapsed="false">
      <c r="B16" s="14" t="s">
        <v>38</v>
      </c>
      <c r="C16" s="13" t="n">
        <f aca="false">COUNTIF('Document Register'!D2:D41,"Work Instruction")</f>
        <v>0</v>
      </c>
    </row>
    <row r="17" customFormat="false" ht="15" hidden="false" customHeight="false" outlineLevel="0" collapsed="false">
      <c r="B17" s="14" t="s">
        <v>41</v>
      </c>
      <c r="C17" s="13" t="n">
        <f aca="false">COUNTIF('Document Register'!D2:D41,"Record")</f>
        <v>0</v>
      </c>
    </row>
    <row r="22" customFormat="false" ht="24" hidden="false" customHeight="true" outlineLevel="0" collapsed="false">
      <c r="B22" s="19" t="s">
        <v>135</v>
      </c>
      <c r="C22" s="19"/>
      <c r="D22" s="19"/>
      <c r="E22" s="19"/>
      <c r="F22" s="19"/>
      <c r="G22" s="19"/>
    </row>
    <row r="23" customFormat="false" ht="15" hidden="false" customHeight="false" outlineLevel="0" collapsed="false">
      <c r="B23" s="11" t="s">
        <v>48</v>
      </c>
      <c r="C23" s="11" t="s">
        <v>134</v>
      </c>
    </row>
    <row r="24" customFormat="false" ht="15" hidden="false" customHeight="false" outlineLevel="0" collapsed="false">
      <c r="B24" s="14" t="s">
        <v>24</v>
      </c>
      <c r="C24" s="13" t="n">
        <f aca="false">COUNTIF('Document Register'!F2:F41,"Draft")</f>
        <v>1</v>
      </c>
    </row>
    <row r="25" customFormat="false" ht="15" hidden="false" customHeight="false" outlineLevel="0" collapsed="false">
      <c r="B25" s="14" t="s">
        <v>27</v>
      </c>
      <c r="C25" s="13" t="n">
        <f aca="false">COUNTIF('Document Register'!F2:F41,"Under Review")</f>
        <v>1</v>
      </c>
    </row>
    <row r="26" customFormat="false" ht="15" hidden="false" customHeight="false" outlineLevel="0" collapsed="false">
      <c r="B26" s="14" t="s">
        <v>30</v>
      </c>
      <c r="C26" s="13" t="n">
        <f aca="false">COUNTIF('Document Register'!F2:F41,"Approved")</f>
        <v>0</v>
      </c>
    </row>
    <row r="27" customFormat="false" ht="15" hidden="false" customHeight="false" outlineLevel="0" collapsed="false">
      <c r="B27" s="14" t="s">
        <v>33</v>
      </c>
      <c r="C27" s="13" t="n">
        <f aca="false">COUNTIF('Document Register'!F2:F41,"Active")</f>
        <v>8</v>
      </c>
    </row>
    <row r="28" customFormat="false" ht="15" hidden="false" customHeight="false" outlineLevel="0" collapsed="false">
      <c r="B28" s="14" t="s">
        <v>36</v>
      </c>
      <c r="C28" s="13" t="n">
        <f aca="false">COUNTIF('Document Register'!F2:F41,"Superseded")</f>
        <v>0</v>
      </c>
    </row>
    <row r="29" customFormat="false" ht="15" hidden="false" customHeight="false" outlineLevel="0" collapsed="false">
      <c r="B29" s="14" t="s">
        <v>39</v>
      </c>
      <c r="C29" s="13" t="n">
        <f aca="false">COUNTIF('Document Register'!F2:F41,"Archived")</f>
        <v>0</v>
      </c>
    </row>
  </sheetData>
  <mergeCells count="13">
    <mergeCell ref="B2:L2"/>
    <mergeCell ref="B4:C4"/>
    <mergeCell ref="D4:E4"/>
    <mergeCell ref="F4:G4"/>
    <mergeCell ref="H4:I4"/>
    <mergeCell ref="J4:K4"/>
    <mergeCell ref="B5:C6"/>
    <mergeCell ref="D5:E6"/>
    <mergeCell ref="F5:G6"/>
    <mergeCell ref="H5:I6"/>
    <mergeCell ref="J5:K6"/>
    <mergeCell ref="B9:G9"/>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2026-10-07T15:54:23Z</dcterms:created>
  <dc:creator>openpyxl</dc:creator>
  <dc:description/>
  <dc:language>en-US</dc:language>
  <cp:lastModifiedBy/>
  <dcterms:modified xsi:type="dcterms:W3CDTF">2026-10-07T15:54:40Z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