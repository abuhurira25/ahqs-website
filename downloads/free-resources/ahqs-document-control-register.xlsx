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amp; Instructions" sheetId="1" state="visible" r:id="rId1"/>
    <sheet xmlns:r="http://schemas.openxmlformats.org/officeDocument/2006/relationships" name="Document Register" sheetId="2" state="visible" r:id="rId2"/>
    <sheet xmlns:r="http://schemas.openxmlformats.org/officeDocument/2006/relationships" name="Summary" sheetId="3" state="visible" r:id="rId3"/>
  </sheets>
  <definedNames>
    <definedName name="_xlnm._FilterDatabase" localSheetId="1" hidden="1">'Document Register'!$A$1:$M$31</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00071F3B"/>
      <sz val="20"/>
    </font>
    <font>
      <name val="Calibri"/>
      <i val="1"/>
      <color rgb="00087F83"/>
      <sz val="11"/>
    </font>
    <font>
      <name val="Calibri"/>
      <color rgb="00667789"/>
      <sz val="11"/>
    </font>
    <font>
      <name val="Calibri"/>
      <b val="1"/>
      <color rgb="00071F3B"/>
      <sz val="13"/>
    </font>
    <font>
      <name val="Calibri"/>
      <color rgb="00173047"/>
      <sz val="10"/>
    </font>
    <font>
      <name val="Calibri"/>
      <i val="1"/>
      <color rgb="00667789"/>
      <sz val="9"/>
    </font>
    <font>
      <name val="Calibri"/>
      <color rgb="00667789"/>
      <sz val="9"/>
    </font>
    <font>
      <name val="Calibri"/>
      <b val="1"/>
      <color rgb="00FFFFFF"/>
      <sz val="11"/>
    </font>
    <font>
      <name val="Calibri"/>
      <b val="1"/>
      <color rgb="00071F3B"/>
      <sz val="16"/>
    </font>
    <font>
      <b val="1"/>
      <color rgb="00FF6B6B"/>
    </font>
  </fonts>
  <fills count="3">
    <fill>
      <patternFill/>
    </fill>
    <fill>
      <patternFill patternType="gray125"/>
    </fill>
    <fill>
      <patternFill patternType="solid">
        <fgColor rgb="00087F83"/>
        <bgColor rgb="00087F83"/>
      </patternFill>
    </fill>
  </fills>
  <borders count="2">
    <border>
      <left/>
      <right/>
      <top/>
      <bottom/>
      <diagonal/>
    </border>
    <border>
      <left style="thin">
        <color rgb="00DCE6EB"/>
      </left>
      <right style="thin">
        <color rgb="00DCE6EB"/>
      </right>
      <top style="thin">
        <color rgb="00DCE6EB"/>
      </top>
      <bottom style="thin">
        <color rgb="00DCE6EB"/>
      </bottom>
    </border>
  </borders>
  <cellStyleXfs count="1">
    <xf numFmtId="0" fontId="0" fillId="0" borderId="0"/>
  </cellStyleXfs>
  <cellXfs count="12">
    <xf numFmtId="0" fontId="0" fillId="0" borderId="0" pivotButton="0" quotePrefix="0" xfId="0"/>
    <xf numFmtId="0" fontId="1" fillId="0" borderId="0" applyAlignment="1" pivotButton="0" quotePrefix="0" xfId="0">
      <alignment horizontal="left"/>
    </xf>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6" fillId="0" borderId="0" applyAlignment="1" pivotButton="0" quotePrefix="0" xfId="0">
      <alignment vertical="top" wrapText="1"/>
    </xf>
    <xf numFmtId="0" fontId="7" fillId="0" borderId="0" pivotButton="0" quotePrefix="0" xfId="0"/>
    <xf numFmtId="0" fontId="8" fillId="2" borderId="1" applyAlignment="1" pivotButton="0" quotePrefix="0" xfId="0">
      <alignment horizontal="center" vertical="center" wrapText="1"/>
    </xf>
    <xf numFmtId="0" fontId="5" fillId="0" borderId="1" applyAlignment="1" pivotButton="0" quotePrefix="0" xfId="0">
      <alignment vertical="center" wrapText="1"/>
    </xf>
    <xf numFmtId="0" fontId="9" fillId="0" borderId="0" pivotButton="0" quotePrefix="0" xfId="0"/>
    <xf numFmtId="0" fontId="10" fillId="0" borderId="0" pivotButton="0" quotePrefix="0" xfId="0"/>
  </cellXfs>
  <cellStyles count="1">
    <cellStyle name="Normal" xfId="0" builtinId="0" hidden="0"/>
  </cellStyles>
  <dxfs count="1">
    <dxf>
      <font>
        <b val="1"/>
        <color rgb="00FFFFFF"/>
      </font>
      <fill>
        <patternFill patternType="solid">
          <fgColor rgb="00FF6B6B"/>
          <bgColor rgb="00FF6B6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0</colOff>
      <row>1</row>
      <rowOff>0</rowOff>
    </from>
    <ext cx="93345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8:B24"/>
  <sheetViews>
    <sheetView showGridLines="0" workbookViewId="0">
      <selection activeCell="A1" sqref="A1"/>
    </sheetView>
  </sheetViews>
  <sheetFormatPr baseColWidth="8" defaultRowHeight="15"/>
  <cols>
    <col width="4" customWidth="1" min="1" max="1"/>
    <col width="50" customWidth="1" min="2" max="2"/>
    <col width="4" customWidth="1" min="3" max="3"/>
  </cols>
  <sheetData>
    <row r="8">
      <c r="B8" s="1" t="inlineStr">
        <is>
          <t>Document Control Register</t>
        </is>
      </c>
    </row>
    <row r="9">
      <c r="B9" s="2" t="inlineStr">
        <is>
          <t>AHQS — Accelerate Healthcare Quality Solutions</t>
        </is>
      </c>
    </row>
    <row r="11" ht="60" customHeight="1">
      <c r="B11" s="3" t="inlineStr">
        <is>
          <t>Track SOPs, policies, forms, and manuals with version control, review dates, approval status, and distribution tracking.</t>
        </is>
      </c>
    </row>
    <row r="13">
      <c r="B13" s="4" t="inlineStr">
        <is>
          <t>How to Use This Tool</t>
        </is>
      </c>
    </row>
    <row r="14">
      <c r="B14" s="5" t="inlineStr">
        <is>
          <t>1. Enter your organization name and facility details in the header area of each sheet</t>
        </is>
      </c>
    </row>
    <row r="15">
      <c r="B15" s="5" t="inlineStr">
        <is>
          <t>2. Fill in the data columns — yellow-shaded cells contain formulas and should not be edited</t>
        </is>
      </c>
    </row>
    <row r="16">
      <c r="B16" s="5" t="inlineStr">
        <is>
          <t>3. Use the dropdown menus where provided for consistent data entry</t>
        </is>
      </c>
    </row>
    <row r="17">
      <c r="B17" s="5" t="inlineStr">
        <is>
          <t>4. Review the summary/dashboard sheet for auto-calculated metrics</t>
        </is>
      </c>
    </row>
    <row r="18">
      <c r="B18" s="5" t="inlineStr">
        <is>
          <t>5. Save a copy for each audit cycle or reporting period</t>
        </is>
      </c>
    </row>
    <row r="19">
      <c r="B19" s="5" t="inlineStr">
        <is>
          <t>6. This tool is free to use and customize for your organization's internal quality improvement</t>
        </is>
      </c>
    </row>
    <row r="21">
      <c r="B21" s="4" t="inlineStr">
        <is>
          <t>Disclaimer</t>
        </is>
      </c>
    </row>
    <row r="22" ht="60" customHeight="1">
      <c r="B22" s="6" t="inlineStr">
        <is>
          <t>This is an AHQS-created quality improvement tool — not an official CAP, ISO 15189, JCI or AABB standards document. Always purchase official standards directly from the accrediting bodies. This template is provided free of charge for internal quality improvement use. © 2026 Accelerate Healthcare Quality Solutions (AHQS). Not for resale.</t>
        </is>
      </c>
    </row>
    <row r="24">
      <c r="B24" s="7" t="inlineStr">
        <is>
          <t>Tool ID: AHQS-DOC-001 | Version: 1.0 | Created: October 2026</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31"/>
  <sheetViews>
    <sheetView showGridLines="0" workbookViewId="0">
      <pane ySplit="1" topLeftCell="A2" activePane="bottomLeft" state="frozen"/>
      <selection pane="bottomLeft" activeCell="A1" sqref="A1"/>
    </sheetView>
  </sheetViews>
  <sheetFormatPr baseColWidth="8" defaultRowHeight="15"/>
  <cols>
    <col width="5" customWidth="1" min="1" max="1"/>
    <col width="12" customWidth="1" min="2" max="2"/>
    <col width="35" customWidth="1" min="3" max="3"/>
    <col width="15" customWidth="1" min="4" max="4"/>
    <col width="10" customWidth="1" min="5" max="5"/>
    <col width="12" customWidth="1" min="6" max="6"/>
    <col width="15" customWidth="1" min="7" max="7"/>
    <col width="15" customWidth="1" min="8" max="8"/>
    <col width="14" customWidth="1" min="9" max="9"/>
    <col width="14" customWidth="1" min="10" max="10"/>
    <col width="20" customWidth="1" min="11" max="11"/>
    <col width="25" customWidth="1" min="12" max="12"/>
    <col width="14" customWidth="1" min="13" max="13"/>
  </cols>
  <sheetData>
    <row r="1" ht="32" customHeight="1">
      <c r="A1" s="8" t="inlineStr">
        <is>
          <t>#</t>
        </is>
      </c>
      <c r="B1" s="8" t="inlineStr">
        <is>
          <t>Doc ID</t>
        </is>
      </c>
      <c r="C1" s="8" t="inlineStr">
        <is>
          <t>Document Title</t>
        </is>
      </c>
      <c r="D1" s="8" t="inlineStr">
        <is>
          <t>Document Type</t>
        </is>
      </c>
      <c r="E1" s="8" t="inlineStr">
        <is>
          <t>Version</t>
        </is>
      </c>
      <c r="F1" s="8" t="inlineStr">
        <is>
          <t>Status</t>
        </is>
      </c>
      <c r="G1" s="8" t="inlineStr">
        <is>
          <t>Author</t>
        </is>
      </c>
      <c r="H1" s="8" t="inlineStr">
        <is>
          <t>Approved By</t>
        </is>
      </c>
      <c r="I1" s="8" t="inlineStr">
        <is>
          <t>Effective Date</t>
        </is>
      </c>
      <c r="J1" s="8" t="inlineStr">
        <is>
          <t>Next Review</t>
        </is>
      </c>
      <c r="K1" s="8" t="inlineStr">
        <is>
          <t>Distribution</t>
        </is>
      </c>
      <c r="L1" s="8" t="inlineStr">
        <is>
          <t>Location/Link</t>
        </is>
      </c>
      <c r="M1" s="8" t="inlineStr">
        <is>
          <t>Review Status</t>
        </is>
      </c>
    </row>
    <row r="2">
      <c r="A2" s="9" t="n">
        <v>1</v>
      </c>
      <c r="B2" s="9" t="inlineStr">
        <is>
          <t>DOC-001</t>
        </is>
      </c>
      <c r="C2" s="9" t="inlineStr">
        <is>
          <t>Sample Receipt and Accessioning SOP</t>
        </is>
      </c>
      <c r="D2" s="9" t="inlineStr">
        <is>
          <t>SOP</t>
        </is>
      </c>
      <c r="E2" s="9" t="inlineStr">
        <is>
          <t>3.1</t>
        </is>
      </c>
      <c r="F2" s="9" t="inlineStr">
        <is>
          <t>Active</t>
        </is>
      </c>
      <c r="G2" s="9" t="inlineStr">
        <is>
          <t>Lab Tech</t>
        </is>
      </c>
      <c r="H2" s="9" t="inlineStr">
        <is>
          <t>Lab Manager</t>
        </is>
      </c>
      <c r="I2" s="9" t="inlineStr">
        <is>
          <t>2026-01-01</t>
        </is>
      </c>
      <c r="J2" s="9" t="inlineStr">
        <is>
          <t>2027-01-01</t>
        </is>
      </c>
      <c r="K2" s="9" t="inlineStr">
        <is>
          <t>All lab staff</t>
        </is>
      </c>
      <c r="L2" s="9" t="inlineStr">
        <is>
          <t>Shared Drive / SOP-001</t>
        </is>
      </c>
      <c r="M2" s="9">
        <f>IF(J2="","",IF(TODAY()&gt;DATEVALUE(J2),"OVERDUE","OK"))</f>
        <v/>
      </c>
    </row>
    <row r="3">
      <c r="A3" s="9" t="n">
        <v>2</v>
      </c>
      <c r="B3" s="9" t="inlineStr">
        <is>
          <t>DOC-002</t>
        </is>
      </c>
      <c r="C3" s="9" t="inlineStr">
        <is>
          <t>Critical Value Notification Policy</t>
        </is>
      </c>
      <c r="D3" s="9" t="inlineStr">
        <is>
          <t>Policy</t>
        </is>
      </c>
      <c r="E3" s="9" t="inlineStr">
        <is>
          <t>2.0</t>
        </is>
      </c>
      <c r="F3" s="9" t="inlineStr">
        <is>
          <t>Active</t>
        </is>
      </c>
      <c r="G3" s="9" t="inlineStr">
        <is>
          <t>Quality Officer</t>
        </is>
      </c>
      <c r="H3" s="9" t="inlineStr">
        <is>
          <t>Medical Director</t>
        </is>
      </c>
      <c r="I3" s="9" t="inlineStr">
        <is>
          <t>2026-01-15</t>
        </is>
      </c>
      <c r="J3" s="9" t="inlineStr">
        <is>
          <t>2027-01-15</t>
        </is>
      </c>
      <c r="K3" s="9" t="inlineStr">
        <is>
          <t>All staff</t>
        </is>
      </c>
      <c r="L3" s="9" t="inlineStr">
        <is>
          <t>Shared Drive / POL-002</t>
        </is>
      </c>
      <c r="M3" s="9">
        <f>IF(J3="","",IF(TODAY()&gt;DATEVALUE(J3),"OVERDUE","OK"))</f>
        <v/>
      </c>
    </row>
    <row r="4">
      <c r="A4" s="9" t="n">
        <v>3</v>
      </c>
      <c r="B4" s="9" t="inlineStr">
        <is>
          <t>DOC-003</t>
        </is>
      </c>
      <c r="C4" s="9" t="inlineStr">
        <is>
          <t>Equipment Calibration Record Form</t>
        </is>
      </c>
      <c r="D4" s="9" t="inlineStr">
        <is>
          <t>Form</t>
        </is>
      </c>
      <c r="E4" s="9" t="inlineStr">
        <is>
          <t>1.5</t>
        </is>
      </c>
      <c r="F4" s="9" t="inlineStr">
        <is>
          <t>Active</t>
        </is>
      </c>
      <c r="G4" s="9" t="inlineStr">
        <is>
          <t>Lab Manager</t>
        </is>
      </c>
      <c r="H4" s="9" t="inlineStr">
        <is>
          <t>Quality Manager</t>
        </is>
      </c>
      <c r="I4" s="9" t="inlineStr">
        <is>
          <t>2026-02-01</t>
        </is>
      </c>
      <c r="J4" s="9" t="inlineStr">
        <is>
          <t>2027-02-01</t>
        </is>
      </c>
      <c r="K4" s="9" t="inlineStr">
        <is>
          <t>Lab staff</t>
        </is>
      </c>
      <c r="L4" s="9" t="inlineStr">
        <is>
          <t>Shared Drive / FRM-003</t>
        </is>
      </c>
      <c r="M4" s="9">
        <f>IF(J4="","",IF(TODAY()&gt;DATEVALUE(J4),"OVERDUE","OK"))</f>
        <v/>
      </c>
    </row>
    <row r="5">
      <c r="A5" s="9" t="n">
        <v>4</v>
      </c>
      <c r="B5" s="9" t="inlineStr">
        <is>
          <t>DOC-004</t>
        </is>
      </c>
      <c r="C5" s="9" t="inlineStr">
        <is>
          <t>Laboratory Safety Manual</t>
        </is>
      </c>
      <c r="D5" s="9" t="inlineStr">
        <is>
          <t>Manual</t>
        </is>
      </c>
      <c r="E5" s="9" t="inlineStr">
        <is>
          <t>4.0</t>
        </is>
      </c>
      <c r="F5" s="9" t="inlineStr">
        <is>
          <t>Active</t>
        </is>
      </c>
      <c r="G5" s="9" t="inlineStr">
        <is>
          <t>Safety Officer</t>
        </is>
      </c>
      <c r="H5" s="9" t="inlineStr">
        <is>
          <t>Lab Director</t>
        </is>
      </c>
      <c r="I5" s="9" t="inlineStr">
        <is>
          <t>2026-01-01</t>
        </is>
      </c>
      <c r="J5" s="9" t="inlineStr">
        <is>
          <t>2027-01-01</t>
        </is>
      </c>
      <c r="K5" s="9" t="inlineStr">
        <is>
          <t>All staff</t>
        </is>
      </c>
      <c r="L5" s="9" t="inlineStr">
        <is>
          <t>Shared Drive / MAN-004</t>
        </is>
      </c>
      <c r="M5" s="9">
        <f>IF(J5="","",IF(TODAY()&gt;DATEVALUE(J5),"OVERDUE","OK"))</f>
        <v/>
      </c>
    </row>
    <row r="6">
      <c r="A6" s="9" t="n">
        <v>5</v>
      </c>
      <c r="B6" s="9" t="inlineStr">
        <is>
          <t>DOC-005</t>
        </is>
      </c>
      <c r="C6" s="9" t="inlineStr">
        <is>
          <t>CAPA Investigation Form</t>
        </is>
      </c>
      <c r="D6" s="9" t="inlineStr">
        <is>
          <t>Form</t>
        </is>
      </c>
      <c r="E6" s="9" t="inlineStr">
        <is>
          <t>2.1</t>
        </is>
      </c>
      <c r="F6" s="9" t="inlineStr">
        <is>
          <t>Under Review</t>
        </is>
      </c>
      <c r="G6" s="9" t="inlineStr">
        <is>
          <t>Quality Officer</t>
        </is>
      </c>
      <c r="H6" s="9" t="inlineStr"/>
      <c r="I6" s="9" t="inlineStr"/>
      <c r="J6" s="9" t="inlineStr"/>
      <c r="K6" s="9" t="inlineStr">
        <is>
          <t>Quality team</t>
        </is>
      </c>
      <c r="L6" s="9" t="inlineStr">
        <is>
          <t>Shared Drive / FRM-005</t>
        </is>
      </c>
      <c r="M6" s="9">
        <f>IF(J6="","",IF(TODAY()&gt;DATEVALUE(J6),"OVERDUE","OK"))</f>
        <v/>
      </c>
    </row>
    <row r="7">
      <c r="A7" s="9" t="n">
        <v>6</v>
      </c>
      <c r="B7" s="9" t="n"/>
      <c r="C7" s="9" t="n"/>
      <c r="D7" s="9" t="n"/>
      <c r="E7" s="9" t="n"/>
      <c r="F7" s="9" t="n"/>
      <c r="G7" s="9" t="n"/>
      <c r="H7" s="9" t="n"/>
      <c r="I7" s="9" t="n"/>
      <c r="J7" s="9" t="n"/>
      <c r="K7" s="9" t="n"/>
      <c r="L7" s="9" t="n"/>
      <c r="M7" s="9">
        <f>IF(J7="","",IF(TODAY()&gt;DATEVALUE(J7),"OVERDUE","OK"))</f>
        <v/>
      </c>
    </row>
    <row r="8">
      <c r="A8" s="9" t="n">
        <v>7</v>
      </c>
      <c r="B8" s="9" t="n"/>
      <c r="C8" s="9" t="n"/>
      <c r="D8" s="9" t="n"/>
      <c r="E8" s="9" t="n"/>
      <c r="F8" s="9" t="n"/>
      <c r="G8" s="9" t="n"/>
      <c r="H8" s="9" t="n"/>
      <c r="I8" s="9" t="n"/>
      <c r="J8" s="9" t="n"/>
      <c r="K8" s="9" t="n"/>
      <c r="L8" s="9" t="n"/>
      <c r="M8" s="9">
        <f>IF(J8="","",IF(TODAY()&gt;DATEVALUE(J8),"OVERDUE","OK"))</f>
        <v/>
      </c>
    </row>
    <row r="9">
      <c r="A9" s="9" t="n">
        <v>8</v>
      </c>
      <c r="B9" s="9" t="n"/>
      <c r="C9" s="9" t="n"/>
      <c r="D9" s="9" t="n"/>
      <c r="E9" s="9" t="n"/>
      <c r="F9" s="9" t="n"/>
      <c r="G9" s="9" t="n"/>
      <c r="H9" s="9" t="n"/>
      <c r="I9" s="9" t="n"/>
      <c r="J9" s="9" t="n"/>
      <c r="K9" s="9" t="n"/>
      <c r="L9" s="9" t="n"/>
      <c r="M9" s="9">
        <f>IF(J9="","",IF(TODAY()&gt;DATEVALUE(J9),"OVERDUE","OK"))</f>
        <v/>
      </c>
    </row>
    <row r="10">
      <c r="A10" s="9" t="n">
        <v>9</v>
      </c>
      <c r="B10" s="9" t="n"/>
      <c r="C10" s="9" t="n"/>
      <c r="D10" s="9" t="n"/>
      <c r="E10" s="9" t="n"/>
      <c r="F10" s="9" t="n"/>
      <c r="G10" s="9" t="n"/>
      <c r="H10" s="9" t="n"/>
      <c r="I10" s="9" t="n"/>
      <c r="J10" s="9" t="n"/>
      <c r="K10" s="9" t="n"/>
      <c r="L10" s="9" t="n"/>
      <c r="M10" s="9">
        <f>IF(J10="","",IF(TODAY()&gt;DATEVALUE(J10),"OVERDUE","OK"))</f>
        <v/>
      </c>
    </row>
    <row r="11">
      <c r="A11" s="9" t="n">
        <v>10</v>
      </c>
      <c r="B11" s="9" t="n"/>
      <c r="C11" s="9" t="n"/>
      <c r="D11" s="9" t="n"/>
      <c r="E11" s="9" t="n"/>
      <c r="F11" s="9" t="n"/>
      <c r="G11" s="9" t="n"/>
      <c r="H11" s="9" t="n"/>
      <c r="I11" s="9" t="n"/>
      <c r="J11" s="9" t="n"/>
      <c r="K11" s="9" t="n"/>
      <c r="L11" s="9" t="n"/>
      <c r="M11" s="9">
        <f>IF(J11="","",IF(TODAY()&gt;DATEVALUE(J11),"OVERDUE","OK"))</f>
        <v/>
      </c>
    </row>
    <row r="12">
      <c r="A12" s="9" t="n">
        <v>11</v>
      </c>
      <c r="B12" s="9" t="n"/>
      <c r="C12" s="9" t="n"/>
      <c r="D12" s="9" t="n"/>
      <c r="E12" s="9" t="n"/>
      <c r="F12" s="9" t="n"/>
      <c r="G12" s="9" t="n"/>
      <c r="H12" s="9" t="n"/>
      <c r="I12" s="9" t="n"/>
      <c r="J12" s="9" t="n"/>
      <c r="K12" s="9" t="n"/>
      <c r="L12" s="9" t="n"/>
      <c r="M12" s="9">
        <f>IF(J12="","",IF(TODAY()&gt;DATEVALUE(J12),"OVERDUE","OK"))</f>
        <v/>
      </c>
    </row>
    <row r="13">
      <c r="A13" s="9" t="n">
        <v>12</v>
      </c>
      <c r="B13" s="9" t="n"/>
      <c r="C13" s="9" t="n"/>
      <c r="D13" s="9" t="n"/>
      <c r="E13" s="9" t="n"/>
      <c r="F13" s="9" t="n"/>
      <c r="G13" s="9" t="n"/>
      <c r="H13" s="9" t="n"/>
      <c r="I13" s="9" t="n"/>
      <c r="J13" s="9" t="n"/>
      <c r="K13" s="9" t="n"/>
      <c r="L13" s="9" t="n"/>
      <c r="M13" s="9">
        <f>IF(J13="","",IF(TODAY()&gt;DATEVALUE(J13),"OVERDUE","OK"))</f>
        <v/>
      </c>
    </row>
    <row r="14">
      <c r="A14" s="9" t="n">
        <v>13</v>
      </c>
      <c r="B14" s="9" t="n"/>
      <c r="C14" s="9" t="n"/>
      <c r="D14" s="9" t="n"/>
      <c r="E14" s="9" t="n"/>
      <c r="F14" s="9" t="n"/>
      <c r="G14" s="9" t="n"/>
      <c r="H14" s="9" t="n"/>
      <c r="I14" s="9" t="n"/>
      <c r="J14" s="9" t="n"/>
      <c r="K14" s="9" t="n"/>
      <c r="L14" s="9" t="n"/>
      <c r="M14" s="9">
        <f>IF(J14="","",IF(TODAY()&gt;DATEVALUE(J14),"OVERDUE","OK"))</f>
        <v/>
      </c>
    </row>
    <row r="15">
      <c r="A15" s="9" t="n">
        <v>14</v>
      </c>
      <c r="B15" s="9" t="n"/>
      <c r="C15" s="9" t="n"/>
      <c r="D15" s="9" t="n"/>
      <c r="E15" s="9" t="n"/>
      <c r="F15" s="9" t="n"/>
      <c r="G15" s="9" t="n"/>
      <c r="H15" s="9" t="n"/>
      <c r="I15" s="9" t="n"/>
      <c r="J15" s="9" t="n"/>
      <c r="K15" s="9" t="n"/>
      <c r="L15" s="9" t="n"/>
      <c r="M15" s="9">
        <f>IF(J15="","",IF(TODAY()&gt;DATEVALUE(J15),"OVERDUE","OK"))</f>
        <v/>
      </c>
    </row>
    <row r="16">
      <c r="A16" s="9" t="n">
        <v>15</v>
      </c>
      <c r="B16" s="9" t="n"/>
      <c r="C16" s="9" t="n"/>
      <c r="D16" s="9" t="n"/>
      <c r="E16" s="9" t="n"/>
      <c r="F16" s="9" t="n"/>
      <c r="G16" s="9" t="n"/>
      <c r="H16" s="9" t="n"/>
      <c r="I16" s="9" t="n"/>
      <c r="J16" s="9" t="n"/>
      <c r="K16" s="9" t="n"/>
      <c r="L16" s="9" t="n"/>
      <c r="M16" s="9">
        <f>IF(J16="","",IF(TODAY()&gt;DATEVALUE(J16),"OVERDUE","OK"))</f>
        <v/>
      </c>
    </row>
    <row r="17">
      <c r="A17" s="9" t="n">
        <v>16</v>
      </c>
      <c r="B17" s="9" t="n"/>
      <c r="C17" s="9" t="n"/>
      <c r="D17" s="9" t="n"/>
      <c r="E17" s="9" t="n"/>
      <c r="F17" s="9" t="n"/>
      <c r="G17" s="9" t="n"/>
      <c r="H17" s="9" t="n"/>
      <c r="I17" s="9" t="n"/>
      <c r="J17" s="9" t="n"/>
      <c r="K17" s="9" t="n"/>
      <c r="L17" s="9" t="n"/>
      <c r="M17" s="9">
        <f>IF(J17="","",IF(TODAY()&gt;DATEVALUE(J17),"OVERDUE","OK"))</f>
        <v/>
      </c>
    </row>
    <row r="18">
      <c r="A18" s="9" t="n">
        <v>17</v>
      </c>
      <c r="B18" s="9" t="n"/>
      <c r="C18" s="9" t="n"/>
      <c r="D18" s="9" t="n"/>
      <c r="E18" s="9" t="n"/>
      <c r="F18" s="9" t="n"/>
      <c r="G18" s="9" t="n"/>
      <c r="H18" s="9" t="n"/>
      <c r="I18" s="9" t="n"/>
      <c r="J18" s="9" t="n"/>
      <c r="K18" s="9" t="n"/>
      <c r="L18" s="9" t="n"/>
      <c r="M18" s="9">
        <f>IF(J18="","",IF(TODAY()&gt;DATEVALUE(J18),"OVERDUE","OK"))</f>
        <v/>
      </c>
    </row>
    <row r="19">
      <c r="A19" s="9" t="n">
        <v>18</v>
      </c>
      <c r="B19" s="9" t="n"/>
      <c r="C19" s="9" t="n"/>
      <c r="D19" s="9" t="n"/>
      <c r="E19" s="9" t="n"/>
      <c r="F19" s="9" t="n"/>
      <c r="G19" s="9" t="n"/>
      <c r="H19" s="9" t="n"/>
      <c r="I19" s="9" t="n"/>
      <c r="J19" s="9" t="n"/>
      <c r="K19" s="9" t="n"/>
      <c r="L19" s="9" t="n"/>
      <c r="M19" s="9">
        <f>IF(J19="","",IF(TODAY()&gt;DATEVALUE(J19),"OVERDUE","OK"))</f>
        <v/>
      </c>
    </row>
    <row r="20">
      <c r="A20" s="9" t="n">
        <v>19</v>
      </c>
      <c r="B20" s="9" t="n"/>
      <c r="C20" s="9" t="n"/>
      <c r="D20" s="9" t="n"/>
      <c r="E20" s="9" t="n"/>
      <c r="F20" s="9" t="n"/>
      <c r="G20" s="9" t="n"/>
      <c r="H20" s="9" t="n"/>
      <c r="I20" s="9" t="n"/>
      <c r="J20" s="9" t="n"/>
      <c r="K20" s="9" t="n"/>
      <c r="L20" s="9" t="n"/>
      <c r="M20" s="9">
        <f>IF(J20="","",IF(TODAY()&gt;DATEVALUE(J20),"OVERDUE","OK"))</f>
        <v/>
      </c>
    </row>
    <row r="21">
      <c r="A21" s="9" t="n">
        <v>20</v>
      </c>
      <c r="B21" s="9" t="n"/>
      <c r="C21" s="9" t="n"/>
      <c r="D21" s="9" t="n"/>
      <c r="E21" s="9" t="n"/>
      <c r="F21" s="9" t="n"/>
      <c r="G21" s="9" t="n"/>
      <c r="H21" s="9" t="n"/>
      <c r="I21" s="9" t="n"/>
      <c r="J21" s="9" t="n"/>
      <c r="K21" s="9" t="n"/>
      <c r="L21" s="9" t="n"/>
      <c r="M21" s="9">
        <f>IF(J21="","",IF(TODAY()&gt;DATEVALUE(J21),"OVERDUE","OK"))</f>
        <v/>
      </c>
    </row>
    <row r="22">
      <c r="A22" s="9" t="n">
        <v>21</v>
      </c>
      <c r="B22" s="9" t="n"/>
      <c r="C22" s="9" t="n"/>
      <c r="D22" s="9" t="n"/>
      <c r="E22" s="9" t="n"/>
      <c r="F22" s="9" t="n"/>
      <c r="G22" s="9" t="n"/>
      <c r="H22" s="9" t="n"/>
      <c r="I22" s="9" t="n"/>
      <c r="J22" s="9" t="n"/>
      <c r="K22" s="9" t="n"/>
      <c r="L22" s="9" t="n"/>
      <c r="M22" s="9">
        <f>IF(J22="","",IF(TODAY()&gt;DATEVALUE(J22),"OVERDUE","OK"))</f>
        <v/>
      </c>
    </row>
    <row r="23">
      <c r="A23" s="9" t="n">
        <v>22</v>
      </c>
      <c r="B23" s="9" t="n"/>
      <c r="C23" s="9" t="n"/>
      <c r="D23" s="9" t="n"/>
      <c r="E23" s="9" t="n"/>
      <c r="F23" s="9" t="n"/>
      <c r="G23" s="9" t="n"/>
      <c r="H23" s="9" t="n"/>
      <c r="I23" s="9" t="n"/>
      <c r="J23" s="9" t="n"/>
      <c r="K23" s="9" t="n"/>
      <c r="L23" s="9" t="n"/>
      <c r="M23" s="9">
        <f>IF(J23="","",IF(TODAY()&gt;DATEVALUE(J23),"OVERDUE","OK"))</f>
        <v/>
      </c>
    </row>
    <row r="24">
      <c r="A24" s="9" t="n">
        <v>23</v>
      </c>
      <c r="B24" s="9" t="n"/>
      <c r="C24" s="9" t="n"/>
      <c r="D24" s="9" t="n"/>
      <c r="E24" s="9" t="n"/>
      <c r="F24" s="9" t="n"/>
      <c r="G24" s="9" t="n"/>
      <c r="H24" s="9" t="n"/>
      <c r="I24" s="9" t="n"/>
      <c r="J24" s="9" t="n"/>
      <c r="K24" s="9" t="n"/>
      <c r="L24" s="9" t="n"/>
      <c r="M24" s="9">
        <f>IF(J24="","",IF(TODAY()&gt;DATEVALUE(J24),"OVERDUE","OK"))</f>
        <v/>
      </c>
    </row>
    <row r="25">
      <c r="A25" s="9" t="n">
        <v>24</v>
      </c>
      <c r="B25" s="9" t="n"/>
      <c r="C25" s="9" t="n"/>
      <c r="D25" s="9" t="n"/>
      <c r="E25" s="9" t="n"/>
      <c r="F25" s="9" t="n"/>
      <c r="G25" s="9" t="n"/>
      <c r="H25" s="9" t="n"/>
      <c r="I25" s="9" t="n"/>
      <c r="J25" s="9" t="n"/>
      <c r="K25" s="9" t="n"/>
      <c r="L25" s="9" t="n"/>
      <c r="M25" s="9">
        <f>IF(J25="","",IF(TODAY()&gt;DATEVALUE(J25),"OVERDUE","OK"))</f>
        <v/>
      </c>
    </row>
    <row r="26">
      <c r="A26" s="9" t="n">
        <v>25</v>
      </c>
      <c r="B26" s="9" t="n"/>
      <c r="C26" s="9" t="n"/>
      <c r="D26" s="9" t="n"/>
      <c r="E26" s="9" t="n"/>
      <c r="F26" s="9" t="n"/>
      <c r="G26" s="9" t="n"/>
      <c r="H26" s="9" t="n"/>
      <c r="I26" s="9" t="n"/>
      <c r="J26" s="9" t="n"/>
      <c r="K26" s="9" t="n"/>
      <c r="L26" s="9" t="n"/>
      <c r="M26" s="9">
        <f>IF(J26="","",IF(TODAY()&gt;DATEVALUE(J26),"OVERDUE","OK"))</f>
        <v/>
      </c>
    </row>
    <row r="27">
      <c r="A27" s="9" t="n">
        <v>26</v>
      </c>
      <c r="B27" s="9" t="n"/>
      <c r="C27" s="9" t="n"/>
      <c r="D27" s="9" t="n"/>
      <c r="E27" s="9" t="n"/>
      <c r="F27" s="9" t="n"/>
      <c r="G27" s="9" t="n"/>
      <c r="H27" s="9" t="n"/>
      <c r="I27" s="9" t="n"/>
      <c r="J27" s="9" t="n"/>
      <c r="K27" s="9" t="n"/>
      <c r="L27" s="9" t="n"/>
      <c r="M27" s="9">
        <f>IF(J27="","",IF(TODAY()&gt;DATEVALUE(J27),"OVERDUE","OK"))</f>
        <v/>
      </c>
    </row>
    <row r="28">
      <c r="A28" s="9" t="n">
        <v>27</v>
      </c>
      <c r="B28" s="9" t="n"/>
      <c r="C28" s="9" t="n"/>
      <c r="D28" s="9" t="n"/>
      <c r="E28" s="9" t="n"/>
      <c r="F28" s="9" t="n"/>
      <c r="G28" s="9" t="n"/>
      <c r="H28" s="9" t="n"/>
      <c r="I28" s="9" t="n"/>
      <c r="J28" s="9" t="n"/>
      <c r="K28" s="9" t="n"/>
      <c r="L28" s="9" t="n"/>
      <c r="M28" s="9">
        <f>IF(J28="","",IF(TODAY()&gt;DATEVALUE(J28),"OVERDUE","OK"))</f>
        <v/>
      </c>
    </row>
    <row r="29">
      <c r="A29" s="9" t="n">
        <v>28</v>
      </c>
      <c r="B29" s="9" t="n"/>
      <c r="C29" s="9" t="n"/>
      <c r="D29" s="9" t="n"/>
      <c r="E29" s="9" t="n"/>
      <c r="F29" s="9" t="n"/>
      <c r="G29" s="9" t="n"/>
      <c r="H29" s="9" t="n"/>
      <c r="I29" s="9" t="n"/>
      <c r="J29" s="9" t="n"/>
      <c r="K29" s="9" t="n"/>
      <c r="L29" s="9" t="n"/>
      <c r="M29" s="9">
        <f>IF(J29="","",IF(TODAY()&gt;DATEVALUE(J29),"OVERDUE","OK"))</f>
        <v/>
      </c>
    </row>
    <row r="30">
      <c r="A30" s="9" t="n">
        <v>29</v>
      </c>
      <c r="B30" s="9" t="n"/>
      <c r="C30" s="9" t="n"/>
      <c r="D30" s="9" t="n"/>
      <c r="E30" s="9" t="n"/>
      <c r="F30" s="9" t="n"/>
      <c r="G30" s="9" t="n"/>
      <c r="H30" s="9" t="n"/>
      <c r="I30" s="9" t="n"/>
      <c r="J30" s="9" t="n"/>
      <c r="K30" s="9" t="n"/>
      <c r="L30" s="9" t="n"/>
      <c r="M30" s="9">
        <f>IF(J30="","",IF(TODAY()&gt;DATEVALUE(J30),"OVERDUE","OK"))</f>
        <v/>
      </c>
    </row>
    <row r="31">
      <c r="A31" s="9" t="n">
        <v>30</v>
      </c>
      <c r="B31" s="9" t="n"/>
      <c r="C31" s="9" t="n"/>
      <c r="D31" s="9" t="n"/>
      <c r="E31" s="9" t="n"/>
      <c r="F31" s="9" t="n"/>
      <c r="G31" s="9" t="n"/>
      <c r="H31" s="9" t="n"/>
      <c r="I31" s="9" t="n"/>
      <c r="J31" s="9" t="n"/>
      <c r="K31" s="9" t="n"/>
      <c r="L31" s="9" t="n"/>
      <c r="M31" s="9">
        <f>IF(J31="","",IF(TODAY()&gt;DATEVALUE(J31),"OVERDUE","OK"))</f>
        <v/>
      </c>
    </row>
  </sheetData>
  <autoFilter ref="A1:M31"/>
  <conditionalFormatting sqref="M2:M31">
    <cfRule type="cellIs" priority="1" operator="equal" dxfId="0">
      <formula>"OVERDUE"</formula>
    </cfRule>
  </conditionalFormatting>
  <dataValidations count="2">
    <dataValidation sqref="D2 D3 D4 D5 D6 D7 D8 D9 D10 D11 D12 D13 D14 D15 D16 D17 D18 D19 D20 D21 D22 D23 D24 D25 D26 D27 D28 D29 D30 D31" showDropDown="0" showInputMessage="0" showErrorMessage="0" allowBlank="1" type="list">
      <formula1>"SOP,Policy,Form,Manual,Guideline,Work Instruction,Record"</formula1>
    </dataValidation>
    <dataValidation sqref="F2 F3 F4 F5 F6 F7 F8 F9 F10 F11 F12 F13 F14 F15 F16 F17 F18 F19 F20 F21 F22 F23 F24 F25 F26 F27 F28 F29 F30 F31" showDropDown="0" showInputMessage="0" showErrorMessage="0" allowBlank="1" type="list">
      <formula1>"Draft,Under Review,Approved,Active,Superseded,Archived"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2:C11"/>
  <sheetViews>
    <sheetView showGridLines="0" workbookViewId="0">
      <selection activeCell="A1" sqref="A1"/>
    </sheetView>
  </sheetViews>
  <sheetFormatPr baseColWidth="8" defaultRowHeight="15"/>
  <cols>
    <col width="20" customWidth="1" min="2" max="2"/>
    <col width="12" customWidth="1" min="3" max="3"/>
  </cols>
  <sheetData>
    <row r="2">
      <c r="B2" s="10" t="inlineStr">
        <is>
          <t>Document Control Summary</t>
        </is>
      </c>
    </row>
    <row r="4">
      <c r="A4" s="8" t="inlineStr"/>
      <c r="B4" s="8" t="inlineStr">
        <is>
          <t>Status</t>
        </is>
      </c>
      <c r="C4" s="8" t="inlineStr">
        <is>
          <t>Count</t>
        </is>
      </c>
    </row>
    <row r="5">
      <c r="A5" s="9" t="n"/>
      <c r="B5" s="9" t="inlineStr">
        <is>
          <t>Draft</t>
        </is>
      </c>
      <c r="C5" s="9">
        <f>COUNTIF('Document Register'!F:F,"Draft")</f>
        <v/>
      </c>
    </row>
    <row r="6">
      <c r="A6" s="9" t="n"/>
      <c r="B6" s="9" t="inlineStr">
        <is>
          <t>Under Review</t>
        </is>
      </c>
      <c r="C6" s="9">
        <f>COUNTIF('Document Register'!F:F,"Under Review")</f>
        <v/>
      </c>
    </row>
    <row r="7">
      <c r="A7" s="9" t="n"/>
      <c r="B7" s="9" t="inlineStr">
        <is>
          <t>Approved</t>
        </is>
      </c>
      <c r="C7" s="9">
        <f>COUNTIF('Document Register'!F:F,"Approved")</f>
        <v/>
      </c>
    </row>
    <row r="8">
      <c r="A8" s="9" t="n"/>
      <c r="B8" s="9" t="inlineStr">
        <is>
          <t>Active</t>
        </is>
      </c>
      <c r="C8" s="9">
        <f>COUNTIF('Document Register'!F:F,"Active")</f>
        <v/>
      </c>
    </row>
    <row r="9">
      <c r="A9" s="9" t="n"/>
      <c r="B9" s="9" t="inlineStr">
        <is>
          <t>Superseded</t>
        </is>
      </c>
      <c r="C9" s="9">
        <f>COUNTIF('Document Register'!F:F,"Superseded")</f>
        <v/>
      </c>
    </row>
    <row r="10">
      <c r="A10" s="9" t="n"/>
      <c r="B10" s="9" t="inlineStr">
        <is>
          <t>Archived</t>
        </is>
      </c>
      <c r="C10" s="9">
        <f>COUNTIF('Document Register'!F:F,"Archived")</f>
        <v/>
      </c>
    </row>
    <row r="11">
      <c r="B11" s="11" t="inlineStr">
        <is>
          <t>Reviews Overdue</t>
        </is>
      </c>
      <c r="C11" s="11">
        <f>COUNTIF('Document Register'!M:M,"OVERDUE")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2026-10-07T14:35:08Z</dcterms:created>
  <dcterms:modified xmlns:dcterms="http://purl.org/dc/terms/" xmlns:xsi="http://www.w3.org/2001/XMLSchema-instance" xsi:type="dcterms:W3CDTF">2026-10-07T14:35:15Z</dcterms:modified>
</cp:coreProperties>
</file>