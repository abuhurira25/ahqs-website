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style2.xml" ContentType="application/vnd.ms-office.chartstyle+xml"/>
  <Override PartName="/xl/charts/chart2.xml" ContentType="application/vnd.openxmlformats-officedocument.drawingml.chart+xml"/>
  <Override PartName="/xl/charts/colors2.xml" ContentType="application/vnd.ms-office.chartcolorstyl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0"/>
  </bookViews>
  <sheets>
    <sheet name="Cover" sheetId="1" state="visible" r:id="rId3"/>
    <sheet name="Settings" sheetId="2" state="hidden" r:id="rId4"/>
    <sheet name="Audit Checklist" sheetId="3" state="visible" r:id="rId5"/>
    <sheet name="Findings Register" sheetId="4" state="visible" r:id="rId6"/>
    <sheet name="Dashboard" sheetId="5" state="visible" r:id="rId7"/>
  </sheets>
  <definedNames>
    <definedName function="false" hidden="true" localSheetId="2" name="_xlnm._FilterDatabase" vbProcedure="false">'Audit Checklist'!$A$1:$M$51</definedName>
    <definedName function="false" hidden="true" localSheetId="3" name="_xlnm._FilterDatabase" vbProcedure="false">'Findings Register'!$A$1:$M$26</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<sst xmlns="http://schemas.openxmlformats.org/spreadsheetml/2006/main" count="232" uniqueCount="130">
  <si>
    <t xml:space="preserve">Quality Audit Tool Template</t>
  </si>
  <si>
    <t xml:space="preserve">AHQS — Accelerate Healthcare Quality Solutions</t>
  </si>
  <si>
    <t xml:space="preserve">A comprehensive internal audit tool with weighted compliance scoring, findings tracking, risk-rated gaps, and a visual dashboard with charts.</t>
  </si>
  <si>
    <t xml:space="preserve">Key Features</t>
  </si>
  <si>
    <t xml:space="preserve">  •  Weighted compliance scoring (0-100%)</t>
  </si>
  <si>
    <t xml:space="preserve">  •  Multi-domain audit checklist with auto-scoring</t>
  </si>
  <si>
    <t xml:space="preserve">  •  Findings register with risk levels and CAPA linkage</t>
  </si>
  <si>
    <t xml:space="preserve">  •  Evidence tracking with status</t>
  </si>
  <si>
    <t xml:space="preserve">  •  Executive dashboard with KPIs and charts</t>
  </si>
  <si>
    <t xml:space="preserve">  •  Cross-reference to applicable standards</t>
  </si>
  <si>
    <t xml:space="preserve">How to Use</t>
  </si>
  <si>
    <t xml:space="preserve">1.  Start with the Data Entry sheet — fill in yellow-shaded input cells only</t>
  </si>
  <si>
    <t xml:space="preserve">2.  Blue-shaded cells contain formulas — do not overwrite them</t>
  </si>
  <si>
    <t xml:space="preserve">3.  Use dropdown menus for standardized entries</t>
  </si>
  <si>
    <t xml:space="preserve">4.  Check the Dashboard sheet for auto-calculated metrics and charts</t>
  </si>
  <si>
    <t xml:space="preserve">5.  Save a copy for each audit cycle or reporting period</t>
  </si>
  <si>
    <t xml:space="preserve">6.  This tool is free to use for internal quality improvement</t>
  </si>
  <si>
    <t xml:space="preserve">Disclaimer &amp; License</t>
  </si>
  <si>
    <t xml:space="preserve">This is an AHQS-created quality improvement tool. It is not an official CAP, ISO 15189, JCI or AABB standards document, and does not reproduce official standards text. Always purchase official standards directly from the accrediting bodies. This template is provided free of charge for internal quality improvement use. © 2026 Accelerate Healthcare Quality Solutions (AHQS). Not for resale.</t>
  </si>
  <si>
    <t xml:space="preserve">Tool ID: AHQS-AUD-002  |  Version: 2.0  |  Created: October 2026  |  AHQS Healthcare Quality Solutions</t>
  </si>
  <si>
    <t xml:space="preserve">Audit_Areas</t>
  </si>
  <si>
    <t xml:space="preserve">Risk_Levels</t>
  </si>
  <si>
    <t xml:space="preserve">Status</t>
  </si>
  <si>
    <t xml:space="preserve">Finding_Type</t>
  </si>
  <si>
    <t xml:space="preserve">Compliance</t>
  </si>
  <si>
    <t xml:space="preserve">Document Control</t>
  </si>
  <si>
    <t xml:space="preserve">Critical</t>
  </si>
  <si>
    <t xml:space="preserve">Open</t>
  </si>
  <si>
    <t xml:space="preserve">Nonconformity</t>
  </si>
  <si>
    <t xml:space="preserve">Compliant</t>
  </si>
  <si>
    <t xml:space="preserve">Competency &amp; Training</t>
  </si>
  <si>
    <t xml:space="preserve">High</t>
  </si>
  <si>
    <t xml:space="preserve">In Progress</t>
  </si>
  <si>
    <t xml:space="preserve">Observation</t>
  </si>
  <si>
    <t xml:space="preserve">Non-Compliant</t>
  </si>
  <si>
    <t xml:space="preserve">Quality Control</t>
  </si>
  <si>
    <t xml:space="preserve">Medium</t>
  </si>
  <si>
    <t xml:space="preserve">Closed</t>
  </si>
  <si>
    <t xml:space="preserve">Opportunity for Improvement</t>
  </si>
  <si>
    <t xml:space="preserve">Partially Compliant</t>
  </si>
  <si>
    <t xml:space="preserve">CAPA</t>
  </si>
  <si>
    <t xml:space="preserve">Low</t>
  </si>
  <si>
    <t xml:space="preserve">Not Applicable</t>
  </si>
  <si>
    <t xml:space="preserve">Not Assessed</t>
  </si>
  <si>
    <t xml:space="preserve">Equipment Management</t>
  </si>
  <si>
    <t xml:space="preserve">Safety</t>
  </si>
  <si>
    <t xml:space="preserve">Personnel</t>
  </si>
  <si>
    <t xml:space="preserve">Facilities &amp; Environment</t>
  </si>
  <si>
    <t xml:space="preserve">Information Management</t>
  </si>
  <si>
    <t xml:space="preserve">Service Quality</t>
  </si>
  <si>
    <t xml:space="preserve">#</t>
  </si>
  <si>
    <t xml:space="preserve">Audit Domain</t>
  </si>
  <si>
    <t xml:space="preserve">Audit Question</t>
  </si>
  <si>
    <t xml:space="preserve">Applicable Reference</t>
  </si>
  <si>
    <t xml:space="preserve">Weight (%)</t>
  </si>
  <si>
    <t xml:space="preserve">Score</t>
  </si>
  <si>
    <t xml:space="preserve">Finding</t>
  </si>
  <si>
    <t xml:space="preserve">Risk Level</t>
  </si>
  <si>
    <t xml:space="preserve">Corrective Action</t>
  </si>
  <si>
    <t xml:space="preserve">Owner</t>
  </si>
  <si>
    <t xml:space="preserve">Due Date</t>
  </si>
  <si>
    <t xml:space="preserve">Are SOPs current, reviewed, and approved by authorized personnel?</t>
  </si>
  <si>
    <t xml:space="preserve">Verify against your licensed standard</t>
  </si>
  <si>
    <t xml:space="preserve">Is there a master list of all controlled documents?</t>
  </si>
  <si>
    <t xml:space="preserve">Are obsolete documents removed from points of use?</t>
  </si>
  <si>
    <t xml:space="preserve">Are competency assessments completed for all staff at required intervals?</t>
  </si>
  <si>
    <t xml:space="preserve">Are training records maintained and up to date?</t>
  </si>
  <si>
    <t xml:space="preserve">Are QC records reviewed daily by authorized personnel?</t>
  </si>
  <si>
    <t xml:space="preserve">Are QC failures investigated and documented?</t>
  </si>
  <si>
    <t xml:space="preserve">Are corrective actions tracked to closure within target timelines?</t>
  </si>
  <si>
    <t xml:space="preserve">Are root cause analyses performed for significant findings?</t>
  </si>
  <si>
    <t xml:space="preserve">Is equipment calibrated per schedule and documented?</t>
  </si>
  <si>
    <t xml:space="preserve">Are preventive maintenance records maintained?</t>
  </si>
  <si>
    <t xml:space="preserve">Is PPE available, appropriate, and used by all staff?</t>
  </si>
  <si>
    <t xml:space="preserve">Are safety incidents reported, investigated, and trended?</t>
  </si>
  <si>
    <t xml:space="preserve">Are job descriptions current and on file for all staff?</t>
  </si>
  <si>
    <t xml:space="preserve">Are continuing education records maintained?</t>
  </si>
  <si>
    <t xml:space="preserve">Is temperature and humidity monitored and recorded?</t>
  </si>
  <si>
    <t xml:space="preserve">Is the laboratory clean, organized, and free of clutter?</t>
  </si>
  <si>
    <t xml:space="preserve">Is the LIS backed up regularly with documented recovery testing?</t>
  </si>
  <si>
    <t xml:space="preserve">Are access permissions reviewed periodically?</t>
  </si>
  <si>
    <t xml:space="preserve">Are turnaround times monitored and reported?</t>
  </si>
  <si>
    <t xml:space="preserve">Finding ID</t>
  </si>
  <si>
    <t xml:space="preserve">Domain</t>
  </si>
  <si>
    <t xml:space="preserve">Finding Description</t>
  </si>
  <si>
    <t xml:space="preserve">Root Cause</t>
  </si>
  <si>
    <t xml:space="preserve">Date Closed</t>
  </si>
  <si>
    <t xml:space="preserve">Days Open</t>
  </si>
  <si>
    <t xml:space="preserve">Effectiveness</t>
  </si>
  <si>
    <t xml:space="preserve">F-001</t>
  </si>
  <si>
    <t xml:space="preserve">Competency assessments not completed for 2 staff members</t>
  </si>
  <si>
    <t xml:space="preserve">Competency records stored in different locations</t>
  </si>
  <si>
    <t xml:space="preserve">Consolidate competency records into central file</t>
  </si>
  <si>
    <t xml:space="preserve">HR Manager</t>
  </si>
  <si>
    <t xml:space="preserve">2026-11-15</t>
  </si>
  <si>
    <t xml:space="preserve">F-002</t>
  </si>
  <si>
    <t xml:space="preserve">Corrective actions not closed within 30-day target</t>
  </si>
  <si>
    <t xml:space="preserve">CAPA tracking system not consistently used</t>
  </si>
  <si>
    <t xml:space="preserve">Implement centralized CAPA tracking with auto-alerts</t>
  </si>
  <si>
    <t xml:space="preserve">Quality Manager</t>
  </si>
  <si>
    <t xml:space="preserve">2026-11-30</t>
  </si>
  <si>
    <t xml:space="preserve">F-003</t>
  </si>
  <si>
    <t xml:space="preserve">QC failures not consistently investigated</t>
  </si>
  <si>
    <t xml:space="preserve">Staff unsure of investigation procedure</t>
  </si>
  <si>
    <t xml:space="preserve">Develop and train QC investigation SOP</t>
  </si>
  <si>
    <t xml:space="preserve">Lab Supervisor</t>
  </si>
  <si>
    <t xml:space="preserve">2026-12-15</t>
  </si>
  <si>
    <t xml:space="preserve">F-004</t>
  </si>
  <si>
    <t xml:space="preserve">Preventive maintenance records incomplete</t>
  </si>
  <si>
    <t xml:space="preserve">Maintenance log not consistently filled</t>
  </si>
  <si>
    <t xml:space="preserve">Implement digital maintenance log with reminders</t>
  </si>
  <si>
    <t xml:space="preserve">Lab Manager</t>
  </si>
  <si>
    <t xml:space="preserve">2026-12-01</t>
  </si>
  <si>
    <t xml:space="preserve">F-005</t>
  </si>
  <si>
    <t xml:space="preserve">LIS backup recovery not tested</t>
  </si>
  <si>
    <t xml:space="preserve">No documented recovery test procedure</t>
  </si>
  <si>
    <t xml:space="preserve">Schedule and document quarterly recovery tests</t>
  </si>
  <si>
    <t xml:space="preserve">IT Manager</t>
  </si>
  <si>
    <t xml:space="preserve">2026-11-20</t>
  </si>
  <si>
    <t xml:space="preserve">Quality Audit Dashboard</t>
  </si>
  <si>
    <t xml:space="preserve">Overall Compliance</t>
  </si>
  <si>
    <t xml:space="preserve">Total Questions</t>
  </si>
  <si>
    <t xml:space="preserve">Open Findings</t>
  </si>
  <si>
    <t xml:space="preserve">Critical/High Risks</t>
  </si>
  <si>
    <t xml:space="preserve">Closed Findings</t>
  </si>
  <si>
    <t xml:space="preserve">Compliance Score by Domain</t>
  </si>
  <si>
    <t xml:space="preserve">Partial</t>
  </si>
  <si>
    <t xml:space="preserve">Score %</t>
  </si>
  <si>
    <t xml:space="preserve">Findings by Risk Level</t>
  </si>
  <si>
    <t xml:space="preserve">Count</t>
  </si>
</sst>
</file>

<file path=xl/styles.xml><?xml version="1.0" encoding="utf-8"?>
<styleSheet xmlns="http://schemas.openxmlformats.org/spreadsheetml/2006/main">
  <numFmts count="1">
    <numFmt numFmtId="164" formatCode="General"/>
  </numFmts>
  <fonts count="21">
    <font>
      <sz val="11"/>
      <color theme="1"/>
      <name val="Calibri"/>
      <family val="2"/>
      <charset val="1"/>
    </font>
    <font>
      <sz val="10"/>
      <name val="Arial"/>
      <family val="0"/>
    </font>
    <font>
      <sz val="10"/>
      <name val="Arial"/>
      <family val="0"/>
    </font>
    <font>
      <sz val="10"/>
      <name val="Arial"/>
      <family val="0"/>
    </font>
    <font>
      <b val="true"/>
      <sz val="22"/>
      <color rgb="FF071F3B"/>
      <name val="Calibri"/>
      <family val="0"/>
      <charset val="1"/>
    </font>
    <font>
      <i val="true"/>
      <sz val="11"/>
      <color rgb="FF087F83"/>
      <name val="Calibri"/>
      <family val="0"/>
      <charset val="1"/>
    </font>
    <font>
      <sz val="11"/>
      <color rgb="FF667789"/>
      <name val="Calibri"/>
      <family val="0"/>
      <charset val="1"/>
    </font>
    <font>
      <b val="true"/>
      <sz val="13"/>
      <color rgb="FF071F3B"/>
      <name val="Calibri"/>
      <family val="0"/>
      <charset val="1"/>
    </font>
    <font>
      <sz val="10"/>
      <color rgb="FF173047"/>
      <name val="Calibri"/>
      <family val="0"/>
      <charset val="1"/>
    </font>
    <font>
      <i val="true"/>
      <sz val="9"/>
      <color rgb="FF667789"/>
      <name val="Calibri"/>
      <family val="0"/>
      <charset val="1"/>
    </font>
    <font>
      <sz val="9"/>
      <color rgb="FF667789"/>
      <name val="Calibri"/>
      <family val="0"/>
      <charset val="1"/>
    </font>
    <font>
      <b val="true"/>
      <sz val="11"/>
      <color rgb="FFFFFFFF"/>
      <name val="Calibri"/>
      <family val="0"/>
      <charset val="1"/>
    </font>
    <font>
      <b val="true"/>
      <sz val="10"/>
      <color rgb="FF173047"/>
      <name val="Calibri"/>
      <family val="0"/>
      <charset val="1"/>
    </font>
    <font>
      <b val="true"/>
      <sz val="18"/>
      <color rgb="FF071F3B"/>
      <name val="Calibri"/>
      <family val="0"/>
      <charset val="1"/>
    </font>
    <font>
      <b val="true"/>
      <sz val="9"/>
      <color rgb="FFD4E2EB"/>
      <name val="Calibri"/>
      <family val="0"/>
      <charset val="1"/>
    </font>
    <font>
      <b val="true"/>
      <sz val="9"/>
      <color rgb="FFD4E2EB"/>
      <name val="Cambria"/>
      <family val="0"/>
      <charset val="1"/>
    </font>
    <font>
      <b val="true"/>
      <sz val="22"/>
      <color rgb="FFF0CB67"/>
      <name val="Calibri"/>
      <family val="0"/>
      <charset val="1"/>
    </font>
    <font>
      <b val="true"/>
      <sz val="22"/>
      <color rgb="FFF0CB67"/>
      <name val="Cambria"/>
      <family val="0"/>
      <charset val="1"/>
    </font>
    <font>
      <b val="true"/>
      <sz val="18"/>
      <color rgb="FF000000"/>
      <name val="Calibri"/>
      <family val="2"/>
    </font>
    <font>
      <sz val="10"/>
      <color rgb="FF000000"/>
      <name val="Calibri"/>
      <family val="2"/>
    </font>
    <font>
      <b val="true"/>
      <sz val="10"/>
      <color rgb="FF000000"/>
      <name val="Calibri"/>
      <family val="2"/>
    </font>
  </fonts>
  <fills count="5">
    <fill>
      <patternFill patternType="none"/>
    </fill>
    <fill>
      <patternFill patternType="gray125"/>
    </fill>
    <fill>
      <patternFill patternType="solid">
        <fgColor rgb="FF071F3B"/>
        <bgColor rgb="FF173047"/>
      </patternFill>
    </fill>
    <fill>
      <patternFill patternType="solid">
        <fgColor rgb="FF087F83"/>
        <bgColor rgb="FF008080"/>
      </patternFill>
    </fill>
    <fill>
      <patternFill patternType="solid">
        <fgColor rgb="FFEAF7F7"/>
        <bgColor rgb="FFFFFFFF"/>
      </patternFill>
    </fill>
  </fills>
  <borders count="3">
    <border diagonalUp="false" diagonalDown="false">
      <left/>
      <right/>
      <top/>
      <bottom/>
      <diagonal/>
    </border>
    <border diagonalUp="false" diagonalDown="false">
      <left/>
      <right/>
      <top/>
      <bottom style="medium">
        <color rgb="FFD8A72B"/>
      </bottom>
      <diagonal/>
    </border>
    <border diagonalUp="false" diagonalDown="false">
      <left style="thin">
        <color rgb="FFDCE6EB"/>
      </left>
      <right style="thin">
        <color rgb="FFDCE6EB"/>
      </right>
      <top style="thin">
        <color rgb="FFDCE6EB"/>
      </top>
      <bottom style="thin">
        <color rgb="FFDCE6EB"/>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3">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0" fillId="0" borderId="1" xfId="0" applyFont="false" applyBorder="tru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4" fontId="11" fillId="2" borderId="2" xfId="0" applyFont="true" applyBorder="true" applyAlignment="true" applyProtection="false">
      <alignment horizontal="center" vertical="center" textRotation="0" wrapText="tru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11" fillId="3" borderId="2" xfId="0" applyFont="true" applyBorder="true" applyAlignment="true" applyProtection="false">
      <alignment horizontal="center" vertical="center" textRotation="0" wrapText="true" indent="0" shrinkToFit="false"/>
      <protection locked="true" hidden="false"/>
    </xf>
    <xf numFmtId="164" fontId="8" fillId="0" borderId="2" xfId="0" applyFont="true" applyBorder="true" applyAlignment="true" applyProtection="false">
      <alignment horizontal="center" vertical="center" textRotation="0" wrapText="true" indent="0" shrinkToFit="false"/>
      <protection locked="true" hidden="false"/>
    </xf>
    <xf numFmtId="164" fontId="8" fillId="0" borderId="2" xfId="0" applyFont="true" applyBorder="true" applyAlignment="true" applyProtection="false">
      <alignment horizontal="left" vertical="center" textRotation="0" wrapText="true" indent="0" shrinkToFit="false"/>
      <protection locked="true" hidden="false"/>
    </xf>
    <xf numFmtId="164" fontId="12" fillId="4" borderId="2" xfId="0" applyFont="true" applyBorder="true" applyAlignment="true" applyProtection="false">
      <alignment horizontal="center" vertical="center" textRotation="0" wrapText="true" indent="0" shrinkToFit="false"/>
      <protection locked="true" hidden="false"/>
    </xf>
    <xf numFmtId="164" fontId="12" fillId="0" borderId="2" xfId="0" applyFont="true" applyBorder="true" applyAlignment="true" applyProtection="false">
      <alignment horizontal="center" vertical="center" textRotation="0" wrapText="true" indent="0" shrinkToFit="false"/>
      <protection locked="true" hidden="false"/>
    </xf>
    <xf numFmtId="164" fontId="13" fillId="0" borderId="0" xfId="0" applyFont="true" applyBorder="true" applyAlignment="true" applyProtection="false">
      <alignment horizontal="center" vertical="center" textRotation="0" wrapText="false" indent="0" shrinkToFit="false"/>
      <protection locked="true" hidden="false"/>
    </xf>
    <xf numFmtId="164" fontId="14" fillId="2" borderId="0" xfId="0" applyFont="true" applyBorder="true" applyAlignment="true" applyProtection="false">
      <alignment horizontal="center" vertical="center" textRotation="0" wrapText="false" indent="0" shrinkToFit="false"/>
      <protection locked="true" hidden="false"/>
    </xf>
    <xf numFmtId="164" fontId="15" fillId="2" borderId="0" xfId="0" applyFont="true" applyBorder="true" applyAlignment="true" applyProtection="false">
      <alignment horizontal="center" vertical="center" textRotation="0" wrapText="false" indent="0" shrinkToFit="false"/>
      <protection locked="true" hidden="false"/>
    </xf>
    <xf numFmtId="164" fontId="16" fillId="2" borderId="0" xfId="0" applyFont="true" applyBorder="true" applyAlignment="true" applyProtection="false">
      <alignment horizontal="center" vertical="center" textRotation="0" wrapText="false" indent="0" shrinkToFit="false"/>
      <protection locked="true" hidden="false"/>
    </xf>
    <xf numFmtId="164" fontId="17" fillId="2" borderId="0" xfId="0" applyFont="true" applyBorder="true" applyAlignment="true" applyProtection="false">
      <alignment horizontal="center" vertical="center" textRotation="0" wrapText="false" indent="0" shrinkToFit="false"/>
      <protection locked="true" hidden="false"/>
    </xf>
    <xf numFmtId="164" fontId="7" fillId="0" borderId="0" xfId="0" applyFont="true" applyBorder="true" applyAlignment="true" applyProtection="false">
      <alignment horizontal="left" vertical="center"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2">
    <dxf>
      <fill>
        <patternFill patternType="solid">
          <fgColor rgb="FF087F83"/>
          <bgColor rgb="FF000000"/>
        </patternFill>
      </fill>
    </dxf>
    <dxf>
      <fill>
        <patternFill patternType="solid">
          <bgColor rgb="FF000000"/>
        </patternFill>
      </fill>
    </dxf>
    <dxf>
      <fill>
        <patternFill patternType="solid">
          <fgColor rgb="FF173047"/>
          <bgColor rgb="FF000000"/>
        </patternFill>
      </fill>
    </dxf>
    <dxf>
      <fill>
        <patternFill patternType="solid">
          <fgColor rgb="FFFFFFFF"/>
          <bgColor rgb="FF000000"/>
        </patternFill>
      </fill>
    </dxf>
    <dxf>
      <fill>
        <patternFill patternType="solid">
          <fgColor rgb="FF000000"/>
          <bgColor rgb="FF000000"/>
        </patternFill>
      </fill>
    </dxf>
    <dxf>
      <fill>
        <patternFill patternType="solid">
          <fgColor rgb="FFC3F6C3"/>
          <bgColor rgb="FF000000"/>
        </patternFill>
      </fill>
    </dxf>
    <dxf>
      <fill>
        <patternFill patternType="solid">
          <fgColor rgb="FFFF6B6B"/>
          <bgColor rgb="FF000000"/>
        </patternFill>
      </fill>
    </dxf>
    <dxf>
      <fill>
        <patternFill patternType="solid">
          <fgColor rgb="FFFFE066"/>
          <bgColor rgb="FF000000"/>
        </patternFill>
      </fill>
    </dxf>
    <dxf>
      <fill>
        <patternFill patternType="solid">
          <fgColor rgb="FFEAF7F7"/>
          <bgColor rgb="FF000000"/>
        </patternFill>
      </fill>
    </dxf>
    <dxf>
      <fill>
        <patternFill>
          <bgColor rgb="FFC3F6C3"/>
        </patternFill>
      </fill>
    </dxf>
    <dxf>
      <font>
        <b val="1"/>
        <color rgb="FFFFFFFF"/>
      </font>
      <fill>
        <patternFill>
          <bgColor rgb="FFFF6B6B"/>
        </patternFill>
      </fill>
    </dxf>
    <dxf>
      <fill>
        <patternFill>
          <bgColor rgb="FFFFE066"/>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87F83"/>
      <rgbColor rgb="FFD4E2EB"/>
      <rgbColor rgb="FF878787"/>
      <rgbColor rgb="FF9999FF"/>
      <rgbColor rgb="FFC0504D"/>
      <rgbColor rgb="FFFFFFCC"/>
      <rgbColor rgb="FFEAF7F7"/>
      <rgbColor rgb="FF660066"/>
      <rgbColor rgb="FFFF6B6B"/>
      <rgbColor rgb="FF0066CC"/>
      <rgbColor rgb="FFD9D9D9"/>
      <rgbColor rgb="FF000080"/>
      <rgbColor rgb="FFFF00FF"/>
      <rgbColor rgb="FFFFFF00"/>
      <rgbColor rgb="FF00FFFF"/>
      <rgbColor rgb="FF800080"/>
      <rgbColor rgb="FF800000"/>
      <rgbColor rgb="FF008080"/>
      <rgbColor rgb="FF0000FF"/>
      <rgbColor rgb="FF00CCFF"/>
      <rgbColor rgb="FFDCE6EB"/>
      <rgbColor rgb="FFC3F6C3"/>
      <rgbColor rgb="FFFFE066"/>
      <rgbColor rgb="FF99CCFF"/>
      <rgbColor rgb="FFFF99CC"/>
      <rgbColor rgb="FFCC99FF"/>
      <rgbColor rgb="FFF0CB67"/>
      <rgbColor rgb="FF4F81BD"/>
      <rgbColor rgb="FF4BACC6"/>
      <rgbColor rgb="FF9BBB59"/>
      <rgbColor rgb="FFFFCC00"/>
      <rgbColor rgb="FFD8A72B"/>
      <rgbColor rgb="FFFF6600"/>
      <rgbColor rgb="FF667789"/>
      <rgbColor rgb="FF8064A2"/>
      <rgbColor rgb="FF173047"/>
      <rgbColor rgb="FF339966"/>
      <rgbColor rgb="FF071F3B"/>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charts/_rels/chart1.xml.rels><?xml version="1.0" encoding="UTF-8"?>
<Relationships xmlns="http://schemas.openxmlformats.org/package/2006/relationships"><Relationship Id="rId1" Type="http://schemas.microsoft.com/office/2011/relationships/chartStyle" Target="style1.xml"/><Relationship Id="rId2" Type="http://schemas.microsoft.com/office/2011/relationships/chartColorStyle" Target="colors1.xml"/>
</Relationships>
</file>

<file path=xl/charts/_rels/chart2.xml.rels><?xml version="1.0" encoding="UTF-8"?>
<Relationships xmlns="http://schemas.openxmlformats.org/package/2006/relationships"><Relationship Id="rId1" Type="http://schemas.microsoft.com/office/2011/relationships/chartStyle" Target="style2.xml"/><Relationship Id="rId2" Type="http://schemas.microsoft.com/office/2011/relationships/chartColorStyle" Target="colors2.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000000"/>
                </a:solidFill>
                <a:uFillTx/>
                <a:latin typeface="Calibri"/>
              </a:rPr>
              <a:t>Compliance Score by Domain</a:t>
            </a:r>
          </a:p>
        </c:rich>
      </c:tx>
      <c:overlay val="0"/>
      <c:spPr>
        <a:noFill/>
        <a:ln w="0">
          <a:noFill/>
        </a:ln>
      </c:spPr>
    </c:title>
    <c:autoTitleDeleted val="0"/>
    <c:plotArea>
      <c:barChart>
        <c:barDir val="bar"/>
        <c:grouping val="clustered"/>
        <c:varyColors val="0"/>
        <c:ser>
          <c:idx val="0"/>
          <c:order val="0"/>
          <c:tx>
            <c:strRef>
              <c:f>Dashboard!F10</c:f>
              <c:strCache>
                <c:ptCount val="1"/>
                <c:pt idx="0">
                  <c:v>Score %</c:v>
                </c:pt>
              </c:strCache>
            </c:strRef>
          </c:tx>
          <c:spPr>
            <a:solidFill>
              <a:srgbClr val="4F81BD"/>
            </a:solidFill>
            <a:ln w="1260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Dashboard!$B$11:$B$20</c:f>
              <c:strCache>
                <c:ptCount val="10"/>
                <c:pt idx="0">
                  <c:v>Document Control</c:v>
                </c:pt>
                <c:pt idx="1">
                  <c:v>Competency &amp; Training</c:v>
                </c:pt>
                <c:pt idx="2">
                  <c:v>Quality Control</c:v>
                </c:pt>
                <c:pt idx="3">
                  <c:v>CAPA</c:v>
                </c:pt>
                <c:pt idx="4">
                  <c:v>Equipment Management</c:v>
                </c:pt>
                <c:pt idx="5">
                  <c:v>Safety</c:v>
                </c:pt>
                <c:pt idx="6">
                  <c:v>Personnel</c:v>
                </c:pt>
                <c:pt idx="7">
                  <c:v>Facilities &amp; Environment</c:v>
                </c:pt>
                <c:pt idx="8">
                  <c:v>Information Management</c:v>
                </c:pt>
                <c:pt idx="9">
                  <c:v>Service Quality</c:v>
                </c:pt>
              </c:strCache>
            </c:strRef>
          </c:cat>
          <c:val>
            <c:numRef>
              <c:f>Dashboard!$F$11:$F$20</c:f>
              <c:numCache>
                <c:formatCode>General</c:formatCode>
                <c:ptCount val="10"/>
                <c:pt idx="0">
                  <c:v>80</c:v>
                </c:pt>
                <c:pt idx="1">
                  <c:v>0</c:v>
                </c:pt>
                <c:pt idx="2">
                  <c:v>66.6666666666667</c:v>
                </c:pt>
                <c:pt idx="3">
                  <c:v>50</c:v>
                </c:pt>
                <c:pt idx="4">
                  <c:v>66.6666666666667</c:v>
                </c:pt>
                <c:pt idx="5">
                  <c:v>100</c:v>
                </c:pt>
                <c:pt idx="6">
                  <c:v>0</c:v>
                </c:pt>
                <c:pt idx="7">
                  <c:v>100</c:v>
                </c:pt>
                <c:pt idx="8">
                  <c:v>66.6666666666667</c:v>
                </c:pt>
                <c:pt idx="9">
                  <c:v>100</c:v>
                </c:pt>
              </c:numCache>
            </c:numRef>
          </c:val>
        </c:ser>
        <c:gapWidth val="150"/>
        <c:overlap val="0"/>
        <c:axId val="17330776"/>
        <c:axId val="87260376"/>
      </c:barChart>
      <c:catAx>
        <c:axId val="17330776"/>
        <c:scaling>
          <c:orientation val="minMax"/>
        </c:scaling>
        <c:delete val="0"/>
        <c:axPos val="b"/>
        <c:title>
          <c:tx>
            <c:rich>
              <a:bodyPr rot="-5400000"/>
              <a:lstStyle/>
              <a:p>
                <a:pPr>
                  <a:defRPr sz="1300" b="0" u="none" strike="noStrike">
                    <a:uFillTx/>
                    <a:latin typeface="Arial"/>
                  </a:defRPr>
                </a:pPr>
                <a:r>
                  <a:rPr sz="1000" b="1" u="none" strike="noStrike">
                    <a:solidFill>
                      <a:srgbClr val="000000"/>
                    </a:solidFill>
                    <a:uFillTx/>
                    <a:latin typeface="Calibri"/>
                  </a:rPr>
                  <a:t>Score %</a:t>
                </a:r>
              </a:p>
            </c:rich>
          </c:tx>
          <c:overlay val="0"/>
          <c:spPr>
            <a:noFill/>
            <a:ln w="0">
              <a:noFill/>
            </a:ln>
          </c:spPr>
        </c:title>
        <c:numFmt formatCode="General" sourceLinked="0"/>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87260376"/>
        <c:crosses val="autoZero"/>
        <c:auto val="1"/>
        <c:lblAlgn val="ctr"/>
        <c:lblOffset val="100"/>
        <c:noMultiLvlLbl val="0"/>
      </c:catAx>
      <c:valAx>
        <c:axId val="87260376"/>
        <c:scaling>
          <c:orientation val="minMax"/>
        </c:scaling>
        <c:delete val="0"/>
        <c:axPos val="l"/>
        <c:majorGridlines>
          <c:spPr>
            <a:ln w="9360">
              <a:solidFill>
                <a:srgbClr val="878787"/>
              </a:solidFill>
              <a:round/>
            </a:ln>
          </c:spPr>
        </c:majorGridlines>
        <c:title>
          <c:tx>
            <c:rich>
              <a:bodyPr rot="0"/>
              <a:lstStyle/>
              <a:p>
                <a:pPr>
                  <a:defRPr sz="1300" b="0" u="none" strike="noStrike">
                    <a:uFillTx/>
                    <a:latin typeface="Arial"/>
                  </a:defRPr>
                </a:pPr>
                <a:r>
                  <a:rPr sz="1000" b="1" u="none" strike="noStrike">
                    <a:solidFill>
                      <a:srgbClr val="000000"/>
                    </a:solidFill>
                    <a:uFillTx/>
                    <a:latin typeface="Calibri"/>
                  </a:rPr>
                  <a:t>Domain</a:t>
                </a:r>
              </a:p>
            </c:rich>
          </c:tx>
          <c:overlay val="0"/>
          <c:spPr>
            <a:noFill/>
            <a:ln w="0">
              <a:noFill/>
            </a:ln>
          </c:spPr>
        </c:title>
        <c:numFmt formatCode="General" sourceLinked="0"/>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17330776"/>
        <c:crosses val="autoZero"/>
        <c:crossBetween val="between"/>
      </c:valAx>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000000"/>
                </a:solidFill>
                <a:uFillTx/>
                <a:latin typeface="Calibri"/>
              </a:rPr>
              <a:t>Findings by Risk Level</a:t>
            </a:r>
          </a:p>
        </c:rich>
      </c:tx>
      <c:overlay val="0"/>
      <c:spPr>
        <a:noFill/>
        <a:ln w="0">
          <a:noFill/>
        </a:ln>
      </c:spPr>
    </c:title>
    <c:autoTitleDeleted val="0"/>
    <c:plotArea>
      <c:pieChart>
        <c:varyColors val="1"/>
        <c:ser>
          <c:idx val="0"/>
          <c:order val="0"/>
          <c:tx>
            <c:strRef>
              <c:f>Dashboard!C23</c:f>
              <c:strCache>
                <c:ptCount val="1"/>
                <c:pt idx="0">
                  <c:v>Count</c:v>
                </c:pt>
              </c:strCache>
            </c:strRef>
          </c:tx>
          <c:spPr>
            <a:solidFill>
              <a:srgbClr val="4F81BD"/>
            </a:solidFill>
            <a:ln w="12600">
              <a:noFill/>
            </a:ln>
          </c:spPr>
          <c:explosion val="0"/>
          <c:dPt>
            <c:idx val="0"/>
            <c:spPr>
              <a:solidFill>
                <a:srgbClr val="4F81BD"/>
              </a:solidFill>
              <a:ln w="12600">
                <a:noFill/>
              </a:ln>
            </c:spPr>
          </c:dPt>
          <c:dPt>
            <c:idx val="1"/>
            <c:spPr>
              <a:solidFill>
                <a:srgbClr val="C0504D"/>
              </a:solidFill>
              <a:ln w="12600">
                <a:noFill/>
              </a:ln>
            </c:spPr>
          </c:dPt>
          <c:dPt>
            <c:idx val="2"/>
            <c:spPr>
              <a:solidFill>
                <a:srgbClr val="9BBB59"/>
              </a:solidFill>
              <a:ln w="12600">
                <a:noFill/>
              </a:ln>
            </c:spPr>
          </c:dPt>
          <c:dPt>
            <c:idx val="3"/>
            <c:spPr>
              <a:solidFill>
                <a:srgbClr val="8064A2"/>
              </a:solidFill>
              <a:ln w="12600">
                <a:noFill/>
              </a:ln>
            </c:spPr>
          </c:dPt>
          <c:dPt>
            <c:idx val="4"/>
            <c:spPr>
              <a:solidFill>
                <a:srgbClr val="4BACC6"/>
              </a:solidFill>
              <a:ln w="12600">
                <a:noFill/>
              </a:ln>
            </c:spPr>
          </c:dPt>
          <c:dLbls>
            <c:dLbl>
              <c:idx val="0"/>
              <c:numFmt formatCode="General" sourceLinked="1"/>
              <c:txPr>
                <a:bodyPr wrap="square"/>
                <a:lstStyle/>
                <a:p>
                  <a:pPr>
                    <a:defRPr sz="1000" b="0" u="none" strike="noStrike">
                      <a:solidFill>
                        <a:srgbClr val="000000"/>
                      </a:solidFill>
                      <a:uFillTx/>
                      <a:latin typeface="Calibri"/>
                    </a:defRPr>
                  </a:pPr>
                </a:p>
              </c:txPr>
              <c:dLblPos val="bestFit"/>
              <c:showLegendKey val="1"/>
              <c:showVal val="1"/>
              <c:showCatName val="1"/>
              <c:showSerName val="1"/>
              <c:showPercent val="1"/>
              <c:separator>; </c:separator>
            </c:dLbl>
            <c:dLbl>
              <c:idx val="1"/>
              <c:numFmt formatCode="General" sourceLinked="1"/>
              <c:txPr>
                <a:bodyPr wrap="square"/>
                <a:lstStyle/>
                <a:p>
                  <a:pPr>
                    <a:defRPr sz="1000" b="0" u="none" strike="noStrike">
                      <a:solidFill>
                        <a:srgbClr val="000000"/>
                      </a:solidFill>
                      <a:uFillTx/>
                      <a:latin typeface="Calibri"/>
                    </a:defRPr>
                  </a:pPr>
                </a:p>
              </c:txPr>
              <c:dLblPos val="bestFit"/>
              <c:showLegendKey val="1"/>
              <c:showVal val="1"/>
              <c:showCatName val="1"/>
              <c:showSerName val="1"/>
              <c:showPercent val="1"/>
              <c:separator>; </c:separator>
            </c:dLbl>
            <c:dLbl>
              <c:idx val="2"/>
              <c:numFmt formatCode="General" sourceLinked="1"/>
              <c:txPr>
                <a:bodyPr wrap="square"/>
                <a:lstStyle/>
                <a:p>
                  <a:pPr>
                    <a:defRPr sz="1000" b="0" u="none" strike="noStrike">
                      <a:solidFill>
                        <a:srgbClr val="000000"/>
                      </a:solidFill>
                      <a:uFillTx/>
                      <a:latin typeface="Calibri"/>
                    </a:defRPr>
                  </a:pPr>
                </a:p>
              </c:txPr>
              <c:dLblPos val="bestFit"/>
              <c:showLegendKey val="1"/>
              <c:showVal val="1"/>
              <c:showCatName val="1"/>
              <c:showSerName val="1"/>
              <c:showPercent val="1"/>
              <c:separator>; </c:separator>
            </c:dLbl>
            <c:dLbl>
              <c:idx val="3"/>
              <c:numFmt formatCode="General" sourceLinked="1"/>
              <c:txPr>
                <a:bodyPr wrap="square"/>
                <a:lstStyle/>
                <a:p>
                  <a:pPr>
                    <a:defRPr sz="1000" b="0" u="none" strike="noStrike">
                      <a:solidFill>
                        <a:srgbClr val="000000"/>
                      </a:solidFill>
                      <a:uFillTx/>
                      <a:latin typeface="Calibri"/>
                    </a:defRPr>
                  </a:pPr>
                </a:p>
              </c:txPr>
              <c:dLblPos val="bestFit"/>
              <c:showLegendKey val="1"/>
              <c:showVal val="1"/>
              <c:showCatName val="1"/>
              <c:showSerName val="1"/>
              <c:showPercent val="1"/>
              <c:separator>; </c:separator>
            </c:dLbl>
            <c:dLbl>
              <c:idx val="4"/>
              <c:numFmt formatCode="General" sourceLinked="1"/>
              <c:txPr>
                <a:bodyPr wrap="square"/>
                <a:lstStyle/>
                <a:p>
                  <a:pPr>
                    <a:defRPr sz="1000" b="0" u="none" strike="noStrike">
                      <a:solidFill>
                        <a:srgbClr val="000000"/>
                      </a:solidFill>
                      <a:uFillTx/>
                      <a:latin typeface="Calibri"/>
                    </a:defRPr>
                  </a:pPr>
                </a:p>
              </c:txPr>
              <c:dLblPos val="bestFit"/>
              <c:showLegendKey val="1"/>
              <c:showVal val="1"/>
              <c:showCatName val="1"/>
              <c:showSerName val="1"/>
              <c:showPercent val="1"/>
              <c:separator>; </c:separator>
            </c:dLbl>
            <c:numFmt formatCode="General" sourceLinked="1"/>
            <c:txPr>
              <a:bodyPr wrap="square"/>
              <a:lstStyle/>
              <a:p>
                <a:pPr>
                  <a:defRPr sz="1000" b="0" u="none" strike="noStrike">
                    <a:solidFill>
                      <a:srgbClr val="000000"/>
                    </a:solidFill>
                    <a:uFillTx/>
                    <a:latin typeface="Calibri"/>
                  </a:defRPr>
                </a:pPr>
              </a:p>
            </c:txPr>
            <c:dLblPos val="bestFit"/>
            <c:showLegendKey val="1"/>
            <c:showVal val="1"/>
            <c:showCatName val="1"/>
            <c:showSerName val="1"/>
            <c:showPercent val="1"/>
            <c:separator>; </c:separator>
            <c:showLeaderLines val="1"/>
            <c:leaderLines>
              <c:spPr>
                <a:ln w="0">
                  <a:solidFill>
                    <a:srgbClr val="000000"/>
                  </a:solidFill>
                </a:ln>
              </c:spPr>
            </c:leaderLines>
          </c:dLbls>
          <c:cat>
            <c:strRef>
              <c:f>Dashboard!$B$24:$B$28</c:f>
              <c:strCache>
                <c:ptCount val="5"/>
                <c:pt idx="0">
                  <c:v>Critical</c:v>
                </c:pt>
                <c:pt idx="1">
                  <c:v>High</c:v>
                </c:pt>
                <c:pt idx="2">
                  <c:v>Medium</c:v>
                </c:pt>
                <c:pt idx="3">
                  <c:v>Low</c:v>
                </c:pt>
                <c:pt idx="4">
                  <c:v>Observation</c:v>
                </c:pt>
              </c:strCache>
            </c:strRef>
          </c:cat>
          <c:val>
            <c:numRef>
              <c:f>Dashboard!$C$24:$C$28</c:f>
              <c:numCache>
                <c:formatCode>General</c:formatCode>
                <c:ptCount val="5"/>
                <c:pt idx="0">
                  <c:v>1</c:v>
                </c:pt>
                <c:pt idx="1">
                  <c:v>2</c:v>
                </c:pt>
                <c:pt idx="2">
                  <c:v>2</c:v>
                </c:pt>
                <c:pt idx="3">
                  <c:v>0</c:v>
                </c:pt>
                <c:pt idx="4">
                  <c:v>0</c:v>
                </c:pt>
              </c:numCache>
            </c:numRef>
          </c:val>
        </c:ser>
        <c:firstSliceAng val="0"/>
      </c:pieChart>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olors1.xml><?xml version="1.0" encoding="utf-8"?>
<cs:colorStyle xmlns:cs="http://schemas.microsoft.com/office/drawing/2012/chartStyle" xmlns:a="http://schemas.openxmlformats.org/drawingml/2006/main" meth="cycle" id="10">
  <a:schemeClr val="accent1"/>
</cs:colorStyle>
</file>

<file path=xl/charts/colors2.xml><?xml version="1.0" encoding="utf-8"?>
<cs:colorStyle xmlns:cs="http://schemas.microsoft.com/office/drawing/2012/chartStyle" xmlns:a="http://schemas.openxmlformats.org/drawingml/2006/main" meth="cycle" id="10">
  <a:schemeClr val="accent1"/>
</cs:colorStyle>
</file>

<file path=xl/charts/style1.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2.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drawings/_rels/drawing1.xml.rels><?xml version="1.0" encoding="UTF-8"?>
<Relationships xmlns="http://schemas.openxmlformats.org/package/2006/relationships"><Relationship Id="rId1" Type="http://schemas.openxmlformats.org/officeDocument/2006/relationships/image" Target="../media/image1.png"/>
</Relationships>
</file>

<file path=xl/drawings/_rels/drawing4.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1</xdr:row>
      <xdr:rowOff>0</xdr:rowOff>
    </xdr:from>
    <xdr:to>
      <xdr:col>1</xdr:col>
      <xdr:colOff>1094760</xdr:colOff>
      <xdr:row>4</xdr:row>
      <xdr:rowOff>94320</xdr:rowOff>
    </xdr:to>
    <xdr:pic>
      <xdr:nvPicPr>
        <xdr:cNvPr id="1" name="Image 1" descr="Picture"/>
        <xdr:cNvPicPr/>
      </xdr:nvPicPr>
      <xdr:blipFill>
        <a:blip r:embed="rId1"/>
        <a:stretch/>
      </xdr:blipFill>
      <xdr:spPr>
        <a:xfrm>
          <a:off x="211320" y="190440"/>
          <a:ext cx="1094760" cy="666000"/>
        </a:xfrm>
        <a:prstGeom prst="rect">
          <a:avLst/>
        </a:prstGeom>
        <a:noFill/>
        <a:ln w="0">
          <a:noFill/>
        </a:ln>
      </xdr:spPr>
    </xdr:pic>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xdr:twoCellAnchor editAs="oneCell">
    <xdr:from>
      <xdr:col>7</xdr:col>
      <xdr:colOff>0</xdr:colOff>
      <xdr:row>8</xdr:row>
      <xdr:rowOff>0</xdr:rowOff>
    </xdr:from>
    <xdr:to>
      <xdr:col>14</xdr:col>
      <xdr:colOff>322200</xdr:colOff>
      <xdr:row>22</xdr:row>
      <xdr:rowOff>141840</xdr:rowOff>
    </xdr:to>
    <xdr:graphicFrame>
      <xdr:nvGraphicFramePr>
        <xdr:cNvPr id="2" name="Chart 1"/>
        <xdr:cNvGraphicFramePr/>
      </xdr:nvGraphicFramePr>
      <xdr:xfrm>
        <a:off x="6132240" y="1933560"/>
        <a:ext cx="6479280" cy="356148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4</xdr:col>
      <xdr:colOff>0</xdr:colOff>
      <xdr:row>21</xdr:row>
      <xdr:rowOff>0</xdr:rowOff>
    </xdr:from>
    <xdr:to>
      <xdr:col>8</xdr:col>
      <xdr:colOff>372240</xdr:colOff>
      <xdr:row>35</xdr:row>
      <xdr:rowOff>97920</xdr:rowOff>
    </xdr:to>
    <xdr:graphicFrame>
      <xdr:nvGraphicFramePr>
        <xdr:cNvPr id="3" name="Chart 2"/>
        <xdr:cNvGraphicFramePr/>
      </xdr:nvGraphicFramePr>
      <xdr:xfrm>
        <a:off x="3171960" y="5048280"/>
        <a:ext cx="4319280" cy="287928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5.xml.rels><?xml version="1.0" encoding="UTF-8"?>
<Relationships xmlns="http://schemas.openxmlformats.org/package/2006/relationships"><Relationship Id="rId1" Type="http://schemas.openxmlformats.org/officeDocument/2006/relationships/drawing" Target="../drawings/drawing4.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9:C34"/>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3"/>
    <col collapsed="false" customWidth="true" hidden="false" outlineLevel="0" max="2" min="2" style="1" width="55"/>
    <col collapsed="false" customWidth="true" hidden="false" outlineLevel="0" max="3" min="3" style="1" width="3"/>
  </cols>
  <sheetData>
    <row r="9" customFormat="false" ht="26.25" hidden="false" customHeight="true" outlineLevel="0" collapsed="false">
      <c r="B9" s="2" t="s">
        <v>0</v>
      </c>
    </row>
    <row r="10" customFormat="false" ht="15" hidden="false" customHeight="true" outlineLevel="0" collapsed="false">
      <c r="B10" s="3" t="s">
        <v>1</v>
      </c>
    </row>
    <row r="12" customFormat="false" ht="15" hidden="false" customHeight="true" outlineLevel="0" collapsed="false">
      <c r="B12" s="4"/>
      <c r="C12" s="4"/>
    </row>
    <row r="13" customFormat="false" ht="49.5" hidden="false" customHeight="true" outlineLevel="0" collapsed="false">
      <c r="B13" s="5" t="s">
        <v>2</v>
      </c>
    </row>
    <row r="15" customFormat="false" ht="15.75" hidden="false" customHeight="true" outlineLevel="0" collapsed="false">
      <c r="B15" s="6" t="s">
        <v>3</v>
      </c>
    </row>
    <row r="16" customFormat="false" ht="15" hidden="false" customHeight="true" outlineLevel="0" collapsed="false">
      <c r="B16" s="7" t="s">
        <v>4</v>
      </c>
    </row>
    <row r="17" customFormat="false" ht="15" hidden="false" customHeight="true" outlineLevel="0" collapsed="false">
      <c r="B17" s="7" t="s">
        <v>5</v>
      </c>
    </row>
    <row r="18" customFormat="false" ht="15" hidden="false" customHeight="true" outlineLevel="0" collapsed="false">
      <c r="B18" s="7" t="s">
        <v>6</v>
      </c>
    </row>
    <row r="19" customFormat="false" ht="15" hidden="false" customHeight="true" outlineLevel="0" collapsed="false">
      <c r="B19" s="7" t="s">
        <v>7</v>
      </c>
    </row>
    <row r="20" customFormat="false" ht="15" hidden="false" customHeight="true" outlineLevel="0" collapsed="false">
      <c r="B20" s="7" t="s">
        <v>8</v>
      </c>
    </row>
    <row r="21" customFormat="false" ht="15" hidden="false" customHeight="true" outlineLevel="0" collapsed="false">
      <c r="B21" s="7" t="s">
        <v>9</v>
      </c>
    </row>
    <row r="23" customFormat="false" ht="15.75" hidden="false" customHeight="true" outlineLevel="0" collapsed="false">
      <c r="B23" s="6" t="s">
        <v>10</v>
      </c>
    </row>
    <row r="24" customFormat="false" ht="15" hidden="false" customHeight="true" outlineLevel="0" collapsed="false">
      <c r="B24" s="7" t="s">
        <v>11</v>
      </c>
    </row>
    <row r="25" customFormat="false" ht="15" hidden="false" customHeight="true" outlineLevel="0" collapsed="false">
      <c r="B25" s="7" t="s">
        <v>12</v>
      </c>
    </row>
    <row r="26" customFormat="false" ht="15" hidden="false" customHeight="true" outlineLevel="0" collapsed="false">
      <c r="B26" s="7" t="s">
        <v>13</v>
      </c>
    </row>
    <row r="27" customFormat="false" ht="15" hidden="false" customHeight="true" outlineLevel="0" collapsed="false">
      <c r="B27" s="7" t="s">
        <v>14</v>
      </c>
    </row>
    <row r="28" customFormat="false" ht="15" hidden="false" customHeight="true" outlineLevel="0" collapsed="false">
      <c r="B28" s="7" t="s">
        <v>15</v>
      </c>
    </row>
    <row r="29" customFormat="false" ht="15" hidden="false" customHeight="true" outlineLevel="0" collapsed="false">
      <c r="B29" s="7" t="s">
        <v>16</v>
      </c>
    </row>
    <row r="31" customFormat="false" ht="15.75" hidden="false" customHeight="true" outlineLevel="0" collapsed="false">
      <c r="B31" s="6" t="s">
        <v>17</v>
      </c>
    </row>
    <row r="32" customFormat="false" ht="64.5" hidden="false" customHeight="true" outlineLevel="0" collapsed="false">
      <c r="B32" s="8" t="s">
        <v>18</v>
      </c>
    </row>
    <row r="34" customFormat="false" ht="15" hidden="false" customHeight="true" outlineLevel="0" collapsed="false">
      <c r="B34" s="9" t="s">
        <v>19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5" min="1" style="1" width="25"/>
  </cols>
  <sheetData>
    <row r="1" customFormat="false" ht="15" hidden="false" customHeight="true" outlineLevel="0" collapsed="false">
      <c r="A1" s="10" t="s">
        <v>20</v>
      </c>
      <c r="B1" s="10" t="s">
        <v>21</v>
      </c>
      <c r="C1" s="10" t="s">
        <v>22</v>
      </c>
      <c r="D1" s="10" t="s">
        <v>23</v>
      </c>
      <c r="E1" s="10" t="s">
        <v>24</v>
      </c>
    </row>
    <row r="2" customFormat="false" ht="15" hidden="false" customHeight="true" outlineLevel="0" collapsed="false">
      <c r="A2" s="11" t="s">
        <v>25</v>
      </c>
      <c r="B2" s="11" t="s">
        <v>26</v>
      </c>
      <c r="C2" s="11" t="s">
        <v>27</v>
      </c>
      <c r="D2" s="11" t="s">
        <v>28</v>
      </c>
      <c r="E2" s="11" t="s">
        <v>29</v>
      </c>
    </row>
    <row r="3" customFormat="false" ht="15" hidden="false" customHeight="true" outlineLevel="0" collapsed="false">
      <c r="A3" s="11" t="s">
        <v>30</v>
      </c>
      <c r="B3" s="11" t="s">
        <v>31</v>
      </c>
      <c r="C3" s="11" t="s">
        <v>32</v>
      </c>
      <c r="D3" s="11" t="s">
        <v>33</v>
      </c>
      <c r="E3" s="11" t="s">
        <v>34</v>
      </c>
    </row>
    <row r="4" customFormat="false" ht="15" hidden="false" customHeight="true" outlineLevel="0" collapsed="false">
      <c r="A4" s="11" t="s">
        <v>35</v>
      </c>
      <c r="B4" s="11" t="s">
        <v>36</v>
      </c>
      <c r="C4" s="11" t="s">
        <v>37</v>
      </c>
      <c r="D4" s="11" t="s">
        <v>38</v>
      </c>
      <c r="E4" s="11" t="s">
        <v>39</v>
      </c>
    </row>
    <row r="5" customFormat="false" ht="15" hidden="false" customHeight="true" outlineLevel="0" collapsed="false">
      <c r="A5" s="11" t="s">
        <v>40</v>
      </c>
      <c r="B5" s="11" t="s">
        <v>41</v>
      </c>
      <c r="C5" s="11" t="s">
        <v>42</v>
      </c>
      <c r="E5" s="11" t="s">
        <v>43</v>
      </c>
    </row>
    <row r="6" customFormat="false" ht="15" hidden="false" customHeight="true" outlineLevel="0" collapsed="false">
      <c r="A6" s="11" t="s">
        <v>44</v>
      </c>
      <c r="B6" s="11" t="s">
        <v>33</v>
      </c>
    </row>
    <row r="7" customFormat="false" ht="15" hidden="false" customHeight="true" outlineLevel="0" collapsed="false">
      <c r="A7" s="11" t="s">
        <v>45</v>
      </c>
    </row>
    <row r="8" customFormat="false" ht="15" hidden="false" customHeight="true" outlineLevel="0" collapsed="false">
      <c r="A8" s="11" t="s">
        <v>46</v>
      </c>
    </row>
    <row r="9" customFormat="false" ht="15" hidden="false" customHeight="true" outlineLevel="0" collapsed="false">
      <c r="A9" s="11" t="s">
        <v>47</v>
      </c>
    </row>
    <row r="10" customFormat="false" ht="15" hidden="false" customHeight="true" outlineLevel="0" collapsed="false">
      <c r="A10" s="11" t="s">
        <v>48</v>
      </c>
    </row>
    <row r="11" customFormat="false" ht="15" hidden="false" customHeight="true" outlineLevel="0" collapsed="false">
      <c r="A11" s="11" t="s">
        <v>49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5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1" min="1" style="1" width="4"/>
    <col collapsed="false" customWidth="true" hidden="false" outlineLevel="0" max="2" min="2" style="1" width="18"/>
    <col collapsed="false" customWidth="true" hidden="false" outlineLevel="0" max="3" min="3" style="1" width="38"/>
    <col collapsed="false" customWidth="true" hidden="false" outlineLevel="0" max="4" min="4" style="1" width="16"/>
    <col collapsed="false" customWidth="true" hidden="false" outlineLevel="0" max="5" min="5" style="1" width="14"/>
    <col collapsed="false" customWidth="true" hidden="false" outlineLevel="0" max="6" min="6" style="1" width="9"/>
    <col collapsed="false" customWidth="true" hidden="false" outlineLevel="0" max="7" min="7" style="1" width="7"/>
    <col collapsed="false" customWidth="true" hidden="false" outlineLevel="0" max="8" min="8" style="1" width="30"/>
    <col collapsed="false" customWidth="true" hidden="false" outlineLevel="0" max="9" min="9" style="1" width="11"/>
    <col collapsed="false" customWidth="true" hidden="false" outlineLevel="0" max="10" min="10" style="1" width="28"/>
    <col collapsed="false" customWidth="true" hidden="false" outlineLevel="0" max="11" min="11" style="1" width="14"/>
    <col collapsed="false" customWidth="true" hidden="false" outlineLevel="0" max="13" min="12" style="1" width="12"/>
  </cols>
  <sheetData>
    <row r="1" customFormat="false" ht="36" hidden="false" customHeight="true" outlineLevel="0" collapsed="false">
      <c r="A1" s="12" t="s">
        <v>50</v>
      </c>
      <c r="B1" s="12" t="s">
        <v>51</v>
      </c>
      <c r="C1" s="12" t="s">
        <v>52</v>
      </c>
      <c r="D1" s="12" t="s">
        <v>53</v>
      </c>
      <c r="E1" s="12" t="s">
        <v>24</v>
      </c>
      <c r="F1" s="12" t="s">
        <v>54</v>
      </c>
      <c r="G1" s="12" t="s">
        <v>55</v>
      </c>
      <c r="H1" s="12" t="s">
        <v>56</v>
      </c>
      <c r="I1" s="12" t="s">
        <v>57</v>
      </c>
      <c r="J1" s="12" t="s">
        <v>58</v>
      </c>
      <c r="K1" s="12" t="s">
        <v>59</v>
      </c>
      <c r="L1" s="12" t="s">
        <v>60</v>
      </c>
      <c r="M1" s="12" t="s">
        <v>22</v>
      </c>
    </row>
    <row r="2" customFormat="false" ht="23.25" hidden="false" customHeight="true" outlineLevel="0" collapsed="false">
      <c r="A2" s="13" t="n">
        <v>1</v>
      </c>
      <c r="B2" s="14" t="s">
        <v>25</v>
      </c>
      <c r="C2" s="14" t="s">
        <v>61</v>
      </c>
      <c r="D2" s="14" t="s">
        <v>62</v>
      </c>
      <c r="E2" s="13" t="s">
        <v>39</v>
      </c>
      <c r="F2" s="13" t="n">
        <v>10</v>
      </c>
      <c r="G2" s="15" t="n">
        <f aca="false">IF(E2="Compliant",1,IF(E2="Partially Compliant",0.5,0))</f>
        <v>0.5</v>
      </c>
      <c r="H2" s="14"/>
      <c r="I2" s="14"/>
      <c r="J2" s="14"/>
      <c r="K2" s="14"/>
      <c r="L2" s="14"/>
      <c r="M2" s="14"/>
    </row>
    <row r="3" customFormat="false" ht="23.25" hidden="false" customHeight="true" outlineLevel="0" collapsed="false">
      <c r="A3" s="13" t="n">
        <v>2</v>
      </c>
      <c r="B3" s="14" t="s">
        <v>25</v>
      </c>
      <c r="C3" s="14" t="s">
        <v>63</v>
      </c>
      <c r="D3" s="14" t="s">
        <v>62</v>
      </c>
      <c r="E3" s="13" t="s">
        <v>29</v>
      </c>
      <c r="F3" s="13" t="n">
        <v>8</v>
      </c>
      <c r="G3" s="15" t="n">
        <f aca="false">IF(E3="Compliant",1,IF(E3="Partially Compliant",0.5,0))</f>
        <v>1</v>
      </c>
      <c r="H3" s="14"/>
      <c r="I3" s="14"/>
      <c r="J3" s="14"/>
      <c r="K3" s="14"/>
      <c r="L3" s="14"/>
      <c r="M3" s="14"/>
    </row>
    <row r="4" customFormat="false" ht="23.25" hidden="false" customHeight="true" outlineLevel="0" collapsed="false">
      <c r="A4" s="13" t="n">
        <v>3</v>
      </c>
      <c r="B4" s="14" t="s">
        <v>25</v>
      </c>
      <c r="C4" s="14" t="s">
        <v>64</v>
      </c>
      <c r="D4" s="14" t="s">
        <v>62</v>
      </c>
      <c r="E4" s="13" t="s">
        <v>29</v>
      </c>
      <c r="F4" s="13" t="n">
        <v>7</v>
      </c>
      <c r="G4" s="15" t="n">
        <f aca="false">IF(E4="Compliant",1,IF(E4="Partially Compliant",0.5,0))</f>
        <v>1</v>
      </c>
      <c r="H4" s="14"/>
      <c r="I4" s="14"/>
      <c r="J4" s="14"/>
      <c r="K4" s="14"/>
      <c r="L4" s="14"/>
      <c r="M4" s="14"/>
    </row>
    <row r="5" customFormat="false" ht="23.25" hidden="false" customHeight="true" outlineLevel="0" collapsed="false">
      <c r="A5" s="13" t="n">
        <v>4</v>
      </c>
      <c r="B5" s="14" t="s">
        <v>30</v>
      </c>
      <c r="C5" s="14" t="s">
        <v>65</v>
      </c>
      <c r="D5" s="14" t="s">
        <v>62</v>
      </c>
      <c r="E5" s="13" t="s">
        <v>34</v>
      </c>
      <c r="F5" s="13" t="n">
        <v>10</v>
      </c>
      <c r="G5" s="15" t="n">
        <f aca="false">IF(E5="Compliant",1,IF(E5="Partially Compliant",0.5,0))</f>
        <v>0</v>
      </c>
      <c r="H5" s="14"/>
      <c r="I5" s="14"/>
      <c r="J5" s="14"/>
      <c r="K5" s="14"/>
      <c r="L5" s="14"/>
      <c r="M5" s="14"/>
    </row>
    <row r="6" customFormat="false" ht="23.25" hidden="false" customHeight="true" outlineLevel="0" collapsed="false">
      <c r="A6" s="13" t="n">
        <v>5</v>
      </c>
      <c r="B6" s="14" t="s">
        <v>30</v>
      </c>
      <c r="C6" s="14" t="s">
        <v>66</v>
      </c>
      <c r="D6" s="14" t="s">
        <v>62</v>
      </c>
      <c r="E6" s="13" t="s">
        <v>39</v>
      </c>
      <c r="F6" s="13" t="n">
        <v>8</v>
      </c>
      <c r="G6" s="15" t="n">
        <f aca="false">IF(E6="Compliant",1,IF(E6="Partially Compliant",0.5,0))</f>
        <v>0.5</v>
      </c>
      <c r="H6" s="14"/>
      <c r="I6" s="14"/>
      <c r="J6" s="14"/>
      <c r="K6" s="14"/>
      <c r="L6" s="14"/>
      <c r="M6" s="14"/>
    </row>
    <row r="7" customFormat="false" ht="23.25" hidden="false" customHeight="true" outlineLevel="0" collapsed="false">
      <c r="A7" s="13" t="n">
        <v>6</v>
      </c>
      <c r="B7" s="14" t="s">
        <v>35</v>
      </c>
      <c r="C7" s="14" t="s">
        <v>67</v>
      </c>
      <c r="D7" s="14" t="s">
        <v>62</v>
      </c>
      <c r="E7" s="13" t="s">
        <v>29</v>
      </c>
      <c r="F7" s="13" t="n">
        <v>10</v>
      </c>
      <c r="G7" s="15" t="n">
        <f aca="false">IF(E7="Compliant",1,IF(E7="Partially Compliant",0.5,0))</f>
        <v>1</v>
      </c>
      <c r="H7" s="14"/>
      <c r="I7" s="14"/>
      <c r="J7" s="14"/>
      <c r="K7" s="14"/>
      <c r="L7" s="14"/>
      <c r="M7" s="14"/>
    </row>
    <row r="8" customFormat="false" ht="23.25" hidden="false" customHeight="true" outlineLevel="0" collapsed="false">
      <c r="A8" s="13" t="n">
        <v>7</v>
      </c>
      <c r="B8" s="14" t="s">
        <v>35</v>
      </c>
      <c r="C8" s="14" t="s">
        <v>68</v>
      </c>
      <c r="D8" s="14" t="s">
        <v>62</v>
      </c>
      <c r="E8" s="13" t="s">
        <v>39</v>
      </c>
      <c r="F8" s="13" t="n">
        <v>8</v>
      </c>
      <c r="G8" s="15" t="n">
        <f aca="false">IF(E8="Compliant",1,IF(E8="Partially Compliant",0.5,0))</f>
        <v>0.5</v>
      </c>
      <c r="H8" s="14"/>
      <c r="I8" s="14"/>
      <c r="J8" s="14"/>
      <c r="K8" s="14"/>
      <c r="L8" s="14"/>
      <c r="M8" s="14"/>
    </row>
    <row r="9" customFormat="false" ht="23.25" hidden="false" customHeight="true" outlineLevel="0" collapsed="false">
      <c r="A9" s="13" t="n">
        <v>8</v>
      </c>
      <c r="B9" s="14" t="s">
        <v>40</v>
      </c>
      <c r="C9" s="14" t="s">
        <v>69</v>
      </c>
      <c r="D9" s="14" t="s">
        <v>62</v>
      </c>
      <c r="E9" s="13" t="s">
        <v>34</v>
      </c>
      <c r="F9" s="13" t="n">
        <v>10</v>
      </c>
      <c r="G9" s="15" t="n">
        <f aca="false">IF(E9="Compliant",1,IF(E9="Partially Compliant",0.5,0))</f>
        <v>0</v>
      </c>
      <c r="H9" s="14"/>
      <c r="I9" s="14"/>
      <c r="J9" s="14"/>
      <c r="K9" s="14"/>
      <c r="L9" s="14"/>
      <c r="M9" s="14"/>
    </row>
    <row r="10" customFormat="false" ht="23.25" hidden="false" customHeight="true" outlineLevel="0" collapsed="false">
      <c r="A10" s="13" t="n">
        <v>9</v>
      </c>
      <c r="B10" s="14" t="s">
        <v>40</v>
      </c>
      <c r="C10" s="14" t="s">
        <v>70</v>
      </c>
      <c r="D10" s="14" t="s">
        <v>62</v>
      </c>
      <c r="E10" s="13" t="s">
        <v>29</v>
      </c>
      <c r="F10" s="13" t="n">
        <v>7</v>
      </c>
      <c r="G10" s="15" t="n">
        <f aca="false">IF(E10="Compliant",1,IF(E10="Partially Compliant",0.5,0))</f>
        <v>1</v>
      </c>
      <c r="H10" s="14"/>
      <c r="I10" s="14"/>
      <c r="J10" s="14"/>
      <c r="K10" s="14"/>
      <c r="L10" s="14"/>
      <c r="M10" s="14"/>
    </row>
    <row r="11" customFormat="false" ht="23.25" hidden="false" customHeight="true" outlineLevel="0" collapsed="false">
      <c r="A11" s="13" t="n">
        <v>10</v>
      </c>
      <c r="B11" s="14" t="s">
        <v>44</v>
      </c>
      <c r="C11" s="14" t="s">
        <v>71</v>
      </c>
      <c r="D11" s="14" t="s">
        <v>62</v>
      </c>
      <c r="E11" s="13" t="s">
        <v>29</v>
      </c>
      <c r="F11" s="13" t="n">
        <v>8</v>
      </c>
      <c r="G11" s="15" t="n">
        <f aca="false">IF(E11="Compliant",1,IF(E11="Partially Compliant",0.5,0))</f>
        <v>1</v>
      </c>
      <c r="H11" s="14"/>
      <c r="I11" s="14"/>
      <c r="J11" s="14"/>
      <c r="K11" s="14"/>
      <c r="L11" s="14"/>
      <c r="M11" s="14"/>
    </row>
    <row r="12" customFormat="false" ht="23.25" hidden="false" customHeight="true" outlineLevel="0" collapsed="false">
      <c r="A12" s="13" t="n">
        <v>11</v>
      </c>
      <c r="B12" s="14" t="s">
        <v>44</v>
      </c>
      <c r="C12" s="14" t="s">
        <v>72</v>
      </c>
      <c r="D12" s="14" t="s">
        <v>62</v>
      </c>
      <c r="E12" s="13" t="s">
        <v>39</v>
      </c>
      <c r="F12" s="13" t="n">
        <v>7</v>
      </c>
      <c r="G12" s="15" t="n">
        <f aca="false">IF(E12="Compliant",1,IF(E12="Partially Compliant",0.5,0))</f>
        <v>0.5</v>
      </c>
      <c r="H12" s="14"/>
      <c r="I12" s="14"/>
      <c r="J12" s="14"/>
      <c r="K12" s="14"/>
      <c r="L12" s="14"/>
      <c r="M12" s="14"/>
    </row>
    <row r="13" customFormat="false" ht="23.25" hidden="false" customHeight="true" outlineLevel="0" collapsed="false">
      <c r="A13" s="13" t="n">
        <v>12</v>
      </c>
      <c r="B13" s="14" t="s">
        <v>45</v>
      </c>
      <c r="C13" s="14" t="s">
        <v>73</v>
      </c>
      <c r="D13" s="14" t="s">
        <v>62</v>
      </c>
      <c r="E13" s="13" t="s">
        <v>29</v>
      </c>
      <c r="F13" s="13" t="n">
        <v>8</v>
      </c>
      <c r="G13" s="15" t="n">
        <f aca="false">IF(E13="Compliant",1,IF(E13="Partially Compliant",0.5,0))</f>
        <v>1</v>
      </c>
      <c r="H13" s="14"/>
      <c r="I13" s="14"/>
      <c r="J13" s="14"/>
      <c r="K13" s="14"/>
      <c r="L13" s="14"/>
      <c r="M13" s="14"/>
    </row>
    <row r="14" customFormat="false" ht="23.25" hidden="false" customHeight="true" outlineLevel="0" collapsed="false">
      <c r="A14" s="13" t="n">
        <v>13</v>
      </c>
      <c r="B14" s="14" t="s">
        <v>45</v>
      </c>
      <c r="C14" s="14" t="s">
        <v>74</v>
      </c>
      <c r="D14" s="14" t="s">
        <v>62</v>
      </c>
      <c r="E14" s="13" t="s">
        <v>29</v>
      </c>
      <c r="F14" s="13" t="n">
        <v>7</v>
      </c>
      <c r="G14" s="15" t="n">
        <f aca="false">IF(E14="Compliant",1,IF(E14="Partially Compliant",0.5,0))</f>
        <v>1</v>
      </c>
      <c r="H14" s="14"/>
      <c r="I14" s="14"/>
      <c r="J14" s="14"/>
      <c r="K14" s="14"/>
      <c r="L14" s="14"/>
      <c r="M14" s="14"/>
    </row>
    <row r="15" customFormat="false" ht="23.25" hidden="false" customHeight="true" outlineLevel="0" collapsed="false">
      <c r="A15" s="13" t="n">
        <v>14</v>
      </c>
      <c r="B15" s="14" t="s">
        <v>46</v>
      </c>
      <c r="C15" s="14" t="s">
        <v>75</v>
      </c>
      <c r="D15" s="14" t="s">
        <v>62</v>
      </c>
      <c r="E15" s="13" t="s">
        <v>43</v>
      </c>
      <c r="F15" s="13" t="n">
        <v>5</v>
      </c>
      <c r="G15" s="15" t="n">
        <f aca="false">IF(E15="Compliant",1,IF(E15="Partially Compliant",0.5,0))</f>
        <v>0</v>
      </c>
      <c r="H15" s="14"/>
      <c r="I15" s="14"/>
      <c r="J15" s="14"/>
      <c r="K15" s="14"/>
      <c r="L15" s="14"/>
      <c r="M15" s="14"/>
    </row>
    <row r="16" customFormat="false" ht="23.25" hidden="false" customHeight="true" outlineLevel="0" collapsed="false">
      <c r="A16" s="13" t="n">
        <v>15</v>
      </c>
      <c r="B16" s="14" t="s">
        <v>46</v>
      </c>
      <c r="C16" s="14" t="s">
        <v>76</v>
      </c>
      <c r="D16" s="14" t="s">
        <v>62</v>
      </c>
      <c r="E16" s="13" t="s">
        <v>39</v>
      </c>
      <c r="F16" s="13" t="n">
        <v>5</v>
      </c>
      <c r="G16" s="15" t="n">
        <f aca="false">IF(E16="Compliant",1,IF(E16="Partially Compliant",0.5,0))</f>
        <v>0.5</v>
      </c>
      <c r="H16" s="14"/>
      <c r="I16" s="14"/>
      <c r="J16" s="14"/>
      <c r="K16" s="14"/>
      <c r="L16" s="14"/>
      <c r="M16" s="14"/>
    </row>
    <row r="17" customFormat="false" ht="23.25" hidden="false" customHeight="true" outlineLevel="0" collapsed="false">
      <c r="A17" s="13" t="n">
        <v>16</v>
      </c>
      <c r="B17" s="14" t="s">
        <v>47</v>
      </c>
      <c r="C17" s="14" t="s">
        <v>77</v>
      </c>
      <c r="D17" s="14" t="s">
        <v>62</v>
      </c>
      <c r="E17" s="13" t="s">
        <v>29</v>
      </c>
      <c r="F17" s="13" t="n">
        <v>7</v>
      </c>
      <c r="G17" s="15" t="n">
        <f aca="false">IF(E17="Compliant",1,IF(E17="Partially Compliant",0.5,0))</f>
        <v>1</v>
      </c>
      <c r="H17" s="14"/>
      <c r="I17" s="14"/>
      <c r="J17" s="14"/>
      <c r="K17" s="14"/>
      <c r="L17" s="14"/>
      <c r="M17" s="14"/>
    </row>
    <row r="18" customFormat="false" ht="23.25" hidden="false" customHeight="true" outlineLevel="0" collapsed="false">
      <c r="A18" s="13" t="n">
        <v>17</v>
      </c>
      <c r="B18" s="14" t="s">
        <v>47</v>
      </c>
      <c r="C18" s="14" t="s">
        <v>78</v>
      </c>
      <c r="D18" s="14" t="s">
        <v>62</v>
      </c>
      <c r="E18" s="13" t="s">
        <v>29</v>
      </c>
      <c r="F18" s="13" t="n">
        <v>5</v>
      </c>
      <c r="G18" s="15" t="n">
        <f aca="false">IF(E18="Compliant",1,IF(E18="Partially Compliant",0.5,0))</f>
        <v>1</v>
      </c>
      <c r="H18" s="14"/>
      <c r="I18" s="14"/>
      <c r="J18" s="14"/>
      <c r="K18" s="14"/>
      <c r="L18" s="14"/>
      <c r="M18" s="14"/>
    </row>
    <row r="19" customFormat="false" ht="23.25" hidden="false" customHeight="true" outlineLevel="0" collapsed="false">
      <c r="A19" s="13" t="n">
        <v>18</v>
      </c>
      <c r="B19" s="14" t="s">
        <v>48</v>
      </c>
      <c r="C19" s="14" t="s">
        <v>79</v>
      </c>
      <c r="D19" s="14" t="s">
        <v>62</v>
      </c>
      <c r="E19" s="13" t="s">
        <v>39</v>
      </c>
      <c r="F19" s="13" t="n">
        <v>8</v>
      </c>
      <c r="G19" s="15" t="n">
        <f aca="false">IF(E19="Compliant",1,IF(E19="Partially Compliant",0.5,0))</f>
        <v>0.5</v>
      </c>
      <c r="H19" s="14"/>
      <c r="I19" s="14"/>
      <c r="J19" s="14"/>
      <c r="K19" s="14"/>
      <c r="L19" s="14"/>
      <c r="M19" s="14"/>
    </row>
    <row r="20" customFormat="false" ht="23.25" hidden="false" customHeight="true" outlineLevel="0" collapsed="false">
      <c r="A20" s="13" t="n">
        <v>19</v>
      </c>
      <c r="B20" s="14" t="s">
        <v>48</v>
      </c>
      <c r="C20" s="14" t="s">
        <v>80</v>
      </c>
      <c r="D20" s="14" t="s">
        <v>62</v>
      </c>
      <c r="E20" s="13" t="s">
        <v>29</v>
      </c>
      <c r="F20" s="13" t="n">
        <v>5</v>
      </c>
      <c r="G20" s="15" t="n">
        <f aca="false">IF(E20="Compliant",1,IF(E20="Partially Compliant",0.5,0))</f>
        <v>1</v>
      </c>
      <c r="H20" s="14"/>
      <c r="I20" s="14"/>
      <c r="J20" s="14"/>
      <c r="K20" s="14"/>
      <c r="L20" s="14"/>
      <c r="M20" s="14"/>
    </row>
    <row r="21" customFormat="false" ht="23.25" hidden="false" customHeight="true" outlineLevel="0" collapsed="false">
      <c r="A21" s="13" t="n">
        <v>20</v>
      </c>
      <c r="B21" s="14" t="s">
        <v>49</v>
      </c>
      <c r="C21" s="14" t="s">
        <v>81</v>
      </c>
      <c r="D21" s="14" t="s">
        <v>62</v>
      </c>
      <c r="E21" s="13" t="s">
        <v>29</v>
      </c>
      <c r="F21" s="13" t="n">
        <v>5</v>
      </c>
      <c r="G21" s="15" t="n">
        <f aca="false">IF(E21="Compliant",1,IF(E21="Partially Compliant",0.5,0))</f>
        <v>1</v>
      </c>
      <c r="H21" s="14"/>
      <c r="I21" s="14"/>
      <c r="J21" s="14"/>
      <c r="K21" s="14"/>
      <c r="L21" s="14"/>
      <c r="M21" s="14"/>
    </row>
    <row r="22" customFormat="false" ht="15" hidden="false" customHeight="true" outlineLevel="0" collapsed="false">
      <c r="A22" s="13" t="n">
        <v>21</v>
      </c>
      <c r="G22" s="15" t="n">
        <f aca="false">IF(E22="Compliant",1,IF(E22="Partially Compliant",0.5,0))</f>
        <v>0</v>
      </c>
    </row>
    <row r="23" customFormat="false" ht="15" hidden="false" customHeight="true" outlineLevel="0" collapsed="false">
      <c r="A23" s="13" t="n">
        <v>22</v>
      </c>
      <c r="G23" s="15" t="n">
        <f aca="false">IF(E23="Compliant",1,IF(E23="Partially Compliant",0.5,0))</f>
        <v>0</v>
      </c>
    </row>
    <row r="24" customFormat="false" ht="15" hidden="false" customHeight="true" outlineLevel="0" collapsed="false">
      <c r="A24" s="13" t="n">
        <v>23</v>
      </c>
      <c r="G24" s="15" t="n">
        <f aca="false">IF(E24="Compliant",1,IF(E24="Partially Compliant",0.5,0))</f>
        <v>0</v>
      </c>
    </row>
    <row r="25" customFormat="false" ht="15" hidden="false" customHeight="true" outlineLevel="0" collapsed="false">
      <c r="A25" s="13" t="n">
        <v>24</v>
      </c>
      <c r="G25" s="15" t="n">
        <f aca="false">IF(E25="Compliant",1,IF(E25="Partially Compliant",0.5,0))</f>
        <v>0</v>
      </c>
    </row>
    <row r="26" customFormat="false" ht="15" hidden="false" customHeight="true" outlineLevel="0" collapsed="false">
      <c r="A26" s="13" t="n">
        <v>25</v>
      </c>
      <c r="G26" s="15" t="n">
        <f aca="false">IF(E26="Compliant",1,IF(E26="Partially Compliant",0.5,0))</f>
        <v>0</v>
      </c>
    </row>
    <row r="27" customFormat="false" ht="15" hidden="false" customHeight="true" outlineLevel="0" collapsed="false">
      <c r="A27" s="13" t="n">
        <v>26</v>
      </c>
      <c r="G27" s="15" t="n">
        <f aca="false">IF(E27="Compliant",1,IF(E27="Partially Compliant",0.5,0))</f>
        <v>0</v>
      </c>
    </row>
    <row r="28" customFormat="false" ht="15" hidden="false" customHeight="true" outlineLevel="0" collapsed="false">
      <c r="A28" s="13" t="n">
        <v>27</v>
      </c>
      <c r="G28" s="15" t="n">
        <f aca="false">IF(E28="Compliant",1,IF(E28="Partially Compliant",0.5,0))</f>
        <v>0</v>
      </c>
    </row>
    <row r="29" customFormat="false" ht="15" hidden="false" customHeight="true" outlineLevel="0" collapsed="false">
      <c r="A29" s="13" t="n">
        <v>28</v>
      </c>
      <c r="G29" s="15" t="n">
        <f aca="false">IF(E29="Compliant",1,IF(E29="Partially Compliant",0.5,0))</f>
        <v>0</v>
      </c>
    </row>
    <row r="30" customFormat="false" ht="15" hidden="false" customHeight="true" outlineLevel="0" collapsed="false">
      <c r="A30" s="13" t="n">
        <v>29</v>
      </c>
      <c r="G30" s="15" t="n">
        <f aca="false">IF(E30="Compliant",1,IF(E30="Partially Compliant",0.5,0))</f>
        <v>0</v>
      </c>
    </row>
    <row r="31" customFormat="false" ht="15" hidden="false" customHeight="true" outlineLevel="0" collapsed="false">
      <c r="A31" s="13" t="n">
        <v>30</v>
      </c>
      <c r="G31" s="15" t="n">
        <f aca="false">IF(E31="Compliant",1,IF(E31="Partially Compliant",0.5,0))</f>
        <v>0</v>
      </c>
    </row>
    <row r="32" customFormat="false" ht="15" hidden="false" customHeight="true" outlineLevel="0" collapsed="false">
      <c r="A32" s="13" t="n">
        <v>31</v>
      </c>
      <c r="G32" s="15" t="n">
        <f aca="false">IF(E32="Compliant",1,IF(E32="Partially Compliant",0.5,0))</f>
        <v>0</v>
      </c>
    </row>
    <row r="33" customFormat="false" ht="15" hidden="false" customHeight="true" outlineLevel="0" collapsed="false">
      <c r="A33" s="13" t="n">
        <v>32</v>
      </c>
      <c r="G33" s="15" t="n">
        <f aca="false">IF(E33="Compliant",1,IF(E33="Partially Compliant",0.5,0))</f>
        <v>0</v>
      </c>
    </row>
    <row r="34" customFormat="false" ht="15" hidden="false" customHeight="true" outlineLevel="0" collapsed="false">
      <c r="A34" s="13" t="n">
        <v>33</v>
      </c>
      <c r="G34" s="15" t="n">
        <f aca="false">IF(E34="Compliant",1,IF(E34="Partially Compliant",0.5,0))</f>
        <v>0</v>
      </c>
    </row>
    <row r="35" customFormat="false" ht="15" hidden="false" customHeight="true" outlineLevel="0" collapsed="false">
      <c r="A35" s="13" t="n">
        <v>34</v>
      </c>
      <c r="G35" s="15" t="n">
        <f aca="false">IF(E35="Compliant",1,IF(E35="Partially Compliant",0.5,0))</f>
        <v>0</v>
      </c>
    </row>
    <row r="36" customFormat="false" ht="15" hidden="false" customHeight="true" outlineLevel="0" collapsed="false">
      <c r="A36" s="13" t="n">
        <v>35</v>
      </c>
      <c r="G36" s="15" t="n">
        <f aca="false">IF(E36="Compliant",1,IF(E36="Partially Compliant",0.5,0))</f>
        <v>0</v>
      </c>
    </row>
    <row r="37" customFormat="false" ht="15" hidden="false" customHeight="true" outlineLevel="0" collapsed="false">
      <c r="A37" s="13" t="n">
        <v>36</v>
      </c>
      <c r="G37" s="15" t="n">
        <f aca="false">IF(E37="Compliant",1,IF(E37="Partially Compliant",0.5,0))</f>
        <v>0</v>
      </c>
    </row>
    <row r="38" customFormat="false" ht="15" hidden="false" customHeight="true" outlineLevel="0" collapsed="false">
      <c r="A38" s="13" t="n">
        <v>37</v>
      </c>
      <c r="G38" s="15" t="n">
        <f aca="false">IF(E38="Compliant",1,IF(E38="Partially Compliant",0.5,0))</f>
        <v>0</v>
      </c>
    </row>
    <row r="39" customFormat="false" ht="15" hidden="false" customHeight="true" outlineLevel="0" collapsed="false">
      <c r="A39" s="13" t="n">
        <v>38</v>
      </c>
      <c r="G39" s="15" t="n">
        <f aca="false">IF(E39="Compliant",1,IF(E39="Partially Compliant",0.5,0))</f>
        <v>0</v>
      </c>
    </row>
    <row r="40" customFormat="false" ht="15" hidden="false" customHeight="true" outlineLevel="0" collapsed="false">
      <c r="A40" s="13" t="n">
        <v>39</v>
      </c>
      <c r="G40" s="15" t="n">
        <f aca="false">IF(E40="Compliant",1,IF(E40="Partially Compliant",0.5,0))</f>
        <v>0</v>
      </c>
    </row>
    <row r="41" customFormat="false" ht="15" hidden="false" customHeight="true" outlineLevel="0" collapsed="false">
      <c r="A41" s="13" t="n">
        <v>40</v>
      </c>
      <c r="G41" s="15" t="n">
        <f aca="false">IF(E41="Compliant",1,IF(E41="Partially Compliant",0.5,0))</f>
        <v>0</v>
      </c>
    </row>
    <row r="42" customFormat="false" ht="15" hidden="false" customHeight="true" outlineLevel="0" collapsed="false">
      <c r="A42" s="13" t="n">
        <v>41</v>
      </c>
      <c r="G42" s="15" t="n">
        <f aca="false">IF(E42="Compliant",1,IF(E42="Partially Compliant",0.5,0))</f>
        <v>0</v>
      </c>
    </row>
    <row r="43" customFormat="false" ht="15" hidden="false" customHeight="true" outlineLevel="0" collapsed="false">
      <c r="A43" s="13" t="n">
        <v>42</v>
      </c>
      <c r="G43" s="15" t="n">
        <f aca="false">IF(E43="Compliant",1,IF(E43="Partially Compliant",0.5,0))</f>
        <v>0</v>
      </c>
    </row>
    <row r="44" customFormat="false" ht="15" hidden="false" customHeight="true" outlineLevel="0" collapsed="false">
      <c r="A44" s="13" t="n">
        <v>43</v>
      </c>
      <c r="G44" s="15" t="n">
        <f aca="false">IF(E44="Compliant",1,IF(E44="Partially Compliant",0.5,0))</f>
        <v>0</v>
      </c>
    </row>
    <row r="45" customFormat="false" ht="15" hidden="false" customHeight="true" outlineLevel="0" collapsed="false">
      <c r="A45" s="13" t="n">
        <v>44</v>
      </c>
      <c r="G45" s="15" t="n">
        <f aca="false">IF(E45="Compliant",1,IF(E45="Partially Compliant",0.5,0))</f>
        <v>0</v>
      </c>
    </row>
    <row r="46" customFormat="false" ht="15" hidden="false" customHeight="true" outlineLevel="0" collapsed="false">
      <c r="A46" s="13" t="n">
        <v>45</v>
      </c>
      <c r="G46" s="15" t="n">
        <f aca="false">IF(E46="Compliant",1,IF(E46="Partially Compliant",0.5,0))</f>
        <v>0</v>
      </c>
    </row>
    <row r="47" customFormat="false" ht="15" hidden="false" customHeight="true" outlineLevel="0" collapsed="false">
      <c r="A47" s="13" t="n">
        <v>46</v>
      </c>
      <c r="G47" s="15" t="n">
        <f aca="false">IF(E47="Compliant",1,IF(E47="Partially Compliant",0.5,0))</f>
        <v>0</v>
      </c>
    </row>
    <row r="48" customFormat="false" ht="15" hidden="false" customHeight="true" outlineLevel="0" collapsed="false">
      <c r="A48" s="13" t="n">
        <v>47</v>
      </c>
      <c r="G48" s="15" t="n">
        <f aca="false">IF(E48="Compliant",1,IF(E48="Partially Compliant",0.5,0))</f>
        <v>0</v>
      </c>
    </row>
    <row r="49" customFormat="false" ht="15" hidden="false" customHeight="true" outlineLevel="0" collapsed="false">
      <c r="A49" s="13" t="n">
        <v>48</v>
      </c>
      <c r="G49" s="15" t="n">
        <f aca="false">IF(E49="Compliant",1,IF(E49="Partially Compliant",0.5,0))</f>
        <v>0</v>
      </c>
    </row>
    <row r="50" customFormat="false" ht="15" hidden="false" customHeight="true" outlineLevel="0" collapsed="false">
      <c r="A50" s="13" t="n">
        <v>49</v>
      </c>
      <c r="G50" s="15" t="n">
        <f aca="false">IF(E50="Compliant",1,IF(E50="Partially Compliant",0.5,0))</f>
        <v>0</v>
      </c>
    </row>
    <row r="51" customFormat="false" ht="15" hidden="false" customHeight="true" outlineLevel="0" collapsed="false">
      <c r="A51" s="13" t="n">
        <v>50</v>
      </c>
      <c r="G51" s="15" t="n">
        <f aca="false">IF(E51="Compliant",1,IF(E51="Partially Compliant",0.5,0))</f>
        <v>0</v>
      </c>
    </row>
  </sheetData>
  <autoFilter ref="A1:M51"/>
  <conditionalFormatting sqref="E2:E51">
    <cfRule type="cellIs" priority="2" operator="equal" aboveAverage="0" equalAverage="0" bottom="0" percent="0" rank="0" text="" dxfId="9">
      <formula>"Compliant"</formula>
    </cfRule>
    <cfRule type="cellIs" priority="3" operator="equal" aboveAverage="0" equalAverage="0" bottom="0" percent="0" rank="0" text="" dxfId="10">
      <formula>"Non-Compliant"</formula>
    </cfRule>
    <cfRule type="cellIs" priority="4" operator="equal" aboveAverage="0" equalAverage="0" bottom="0" percent="0" rank="0" text="" dxfId="11">
      <formula>"Partially Compliant"</formula>
    </cfRule>
  </conditionalFormatting>
  <dataValidations count="3">
    <dataValidation allowBlank="true" errorStyle="stop" operator="between" showDropDown="false" showErrorMessage="false" showInputMessage="false" sqref="E2:E51" type="list">
      <formula1>"Compliant,Non-Compliant,Partially Compliant,Not Assessed"</formula1>
      <formula2>0</formula2>
    </dataValidation>
    <dataValidation allowBlank="true" errorStyle="stop" operator="between" showDropDown="false" showErrorMessage="false" showInputMessage="false" sqref="I2:I51" type="list">
      <formula1>"Critical,High,Medium,Low,Observation"</formula1>
      <formula2>0</formula2>
    </dataValidation>
    <dataValidation allowBlank="true" errorStyle="stop" operator="between" showDropDown="false" showErrorMessage="false" showInputMessage="false" sqref="M2:M51" type="list">
      <formula1>"Open,In Progress,Closed,Not Applicable"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2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1" min="1" style="1" width="4"/>
    <col collapsed="false" customWidth="true" hidden="false" outlineLevel="0" max="2" min="2" style="1" width="12"/>
    <col collapsed="false" customWidth="true" hidden="false" outlineLevel="0" max="3" min="3" style="1" width="16"/>
    <col collapsed="false" customWidth="true" hidden="false" outlineLevel="0" max="4" min="4" style="1" width="30"/>
    <col collapsed="false" customWidth="true" hidden="false" outlineLevel="0" max="5" min="5" style="1" width="11"/>
    <col collapsed="false" customWidth="true" hidden="false" outlineLevel="0" max="6" min="6" style="1" width="25"/>
    <col collapsed="false" customWidth="true" hidden="false" outlineLevel="0" max="7" min="7" style="1" width="28"/>
    <col collapsed="false" customWidth="true" hidden="false" outlineLevel="0" max="8" min="8" style="1" width="14"/>
    <col collapsed="false" customWidth="true" hidden="false" outlineLevel="0" max="11" min="9" style="1" width="12"/>
    <col collapsed="false" customWidth="true" hidden="false" outlineLevel="0" max="12" min="12" style="1" width="10"/>
    <col collapsed="false" customWidth="true" hidden="false" outlineLevel="0" max="13" min="13" style="1" width="22"/>
  </cols>
  <sheetData>
    <row r="1" customFormat="false" ht="36" hidden="false" customHeight="true" outlineLevel="0" collapsed="false">
      <c r="A1" s="12" t="s">
        <v>50</v>
      </c>
      <c r="B1" s="12" t="s">
        <v>82</v>
      </c>
      <c r="C1" s="12" t="s">
        <v>83</v>
      </c>
      <c r="D1" s="12" t="s">
        <v>84</v>
      </c>
      <c r="E1" s="12" t="s">
        <v>57</v>
      </c>
      <c r="F1" s="12" t="s">
        <v>85</v>
      </c>
      <c r="G1" s="12" t="s">
        <v>58</v>
      </c>
      <c r="H1" s="12" t="s">
        <v>59</v>
      </c>
      <c r="I1" s="12" t="s">
        <v>60</v>
      </c>
      <c r="J1" s="12" t="s">
        <v>22</v>
      </c>
      <c r="K1" s="12" t="s">
        <v>86</v>
      </c>
      <c r="L1" s="12" t="s">
        <v>87</v>
      </c>
      <c r="M1" s="12" t="s">
        <v>88</v>
      </c>
    </row>
    <row r="2" customFormat="false" ht="23.25" hidden="false" customHeight="true" outlineLevel="0" collapsed="false">
      <c r="A2" s="13" t="n">
        <v>1</v>
      </c>
      <c r="B2" s="16" t="s">
        <v>89</v>
      </c>
      <c r="C2" s="14" t="s">
        <v>30</v>
      </c>
      <c r="D2" s="14" t="s">
        <v>90</v>
      </c>
      <c r="E2" s="13" t="s">
        <v>31</v>
      </c>
      <c r="F2" s="14" t="s">
        <v>91</v>
      </c>
      <c r="G2" s="14" t="s">
        <v>92</v>
      </c>
      <c r="H2" s="14" t="s">
        <v>93</v>
      </c>
      <c r="I2" s="13" t="s">
        <v>94</v>
      </c>
      <c r="J2" s="13" t="s">
        <v>32</v>
      </c>
      <c r="K2" s="13"/>
      <c r="L2" s="15" t="n">
        <f aca="true">IFERROR(IF(AND(J2&lt;&gt;"Closed",J2&lt;&gt;"Not Applicable",I2&lt;&gt;"",TODAY()&gt;DATEVALUE(I2)),TODAY()-DATEVALUE(I2),IF(K2&lt;&gt;"",DATEVALUE(K2)-DATEVALUE(I2),0)),0)</f>
        <v>0</v>
      </c>
      <c r="M2" s="14"/>
    </row>
    <row r="3" customFormat="false" ht="23.25" hidden="false" customHeight="true" outlineLevel="0" collapsed="false">
      <c r="A3" s="13" t="n">
        <v>2</v>
      </c>
      <c r="B3" s="16" t="s">
        <v>95</v>
      </c>
      <c r="C3" s="14" t="s">
        <v>40</v>
      </c>
      <c r="D3" s="14" t="s">
        <v>96</v>
      </c>
      <c r="E3" s="13" t="s">
        <v>26</v>
      </c>
      <c r="F3" s="14" t="s">
        <v>97</v>
      </c>
      <c r="G3" s="14" t="s">
        <v>98</v>
      </c>
      <c r="H3" s="14" t="s">
        <v>99</v>
      </c>
      <c r="I3" s="13" t="s">
        <v>100</v>
      </c>
      <c r="J3" s="13" t="s">
        <v>27</v>
      </c>
      <c r="K3" s="13"/>
      <c r="L3" s="15" t="n">
        <f aca="true">IFERROR(IF(AND(J3&lt;&gt;"Closed",J3&lt;&gt;"Not Applicable",I3&lt;&gt;"",TODAY()&gt;DATEVALUE(I3)),TODAY()-DATEVALUE(I3),IF(K3&lt;&gt;"",DATEVALUE(K3)-DATEVALUE(I3),0)),0)</f>
        <v>0</v>
      </c>
      <c r="M3" s="14"/>
    </row>
    <row r="4" customFormat="false" ht="23.25" hidden="false" customHeight="true" outlineLevel="0" collapsed="false">
      <c r="A4" s="13" t="n">
        <v>3</v>
      </c>
      <c r="B4" s="16" t="s">
        <v>101</v>
      </c>
      <c r="C4" s="14" t="s">
        <v>35</v>
      </c>
      <c r="D4" s="14" t="s">
        <v>102</v>
      </c>
      <c r="E4" s="13" t="s">
        <v>36</v>
      </c>
      <c r="F4" s="14" t="s">
        <v>103</v>
      </c>
      <c r="G4" s="14" t="s">
        <v>104</v>
      </c>
      <c r="H4" s="14" t="s">
        <v>105</v>
      </c>
      <c r="I4" s="13" t="s">
        <v>106</v>
      </c>
      <c r="J4" s="13" t="s">
        <v>27</v>
      </c>
      <c r="K4" s="13"/>
      <c r="L4" s="15" t="n">
        <f aca="true">IFERROR(IF(AND(J4&lt;&gt;"Closed",J4&lt;&gt;"Not Applicable",I4&lt;&gt;"",TODAY()&gt;DATEVALUE(I4)),TODAY()-DATEVALUE(I4),IF(K4&lt;&gt;"",DATEVALUE(K4)-DATEVALUE(I4),0)),0)</f>
        <v>0</v>
      </c>
      <c r="M4" s="14"/>
    </row>
    <row r="5" customFormat="false" ht="23.25" hidden="false" customHeight="true" outlineLevel="0" collapsed="false">
      <c r="A5" s="13" t="n">
        <v>4</v>
      </c>
      <c r="B5" s="16" t="s">
        <v>107</v>
      </c>
      <c r="C5" s="14" t="s">
        <v>44</v>
      </c>
      <c r="D5" s="14" t="s">
        <v>108</v>
      </c>
      <c r="E5" s="13" t="s">
        <v>36</v>
      </c>
      <c r="F5" s="14" t="s">
        <v>109</v>
      </c>
      <c r="G5" s="14" t="s">
        <v>110</v>
      </c>
      <c r="H5" s="14" t="s">
        <v>111</v>
      </c>
      <c r="I5" s="13" t="s">
        <v>112</v>
      </c>
      <c r="J5" s="13" t="s">
        <v>27</v>
      </c>
      <c r="K5" s="13"/>
      <c r="L5" s="15" t="n">
        <f aca="true">IFERROR(IF(AND(J5&lt;&gt;"Closed",J5&lt;&gt;"Not Applicable",I5&lt;&gt;"",TODAY()&gt;DATEVALUE(I5)),TODAY()-DATEVALUE(I5),IF(K5&lt;&gt;"",DATEVALUE(K5)-DATEVALUE(I5),0)),0)</f>
        <v>0</v>
      </c>
      <c r="M5" s="14"/>
    </row>
    <row r="6" customFormat="false" ht="23.25" hidden="false" customHeight="true" outlineLevel="0" collapsed="false">
      <c r="A6" s="13" t="n">
        <v>5</v>
      </c>
      <c r="B6" s="16" t="s">
        <v>113</v>
      </c>
      <c r="C6" s="14" t="s">
        <v>48</v>
      </c>
      <c r="D6" s="14" t="s">
        <v>114</v>
      </c>
      <c r="E6" s="13" t="s">
        <v>31</v>
      </c>
      <c r="F6" s="14" t="s">
        <v>115</v>
      </c>
      <c r="G6" s="14" t="s">
        <v>116</v>
      </c>
      <c r="H6" s="14" t="s">
        <v>117</v>
      </c>
      <c r="I6" s="13" t="s">
        <v>118</v>
      </c>
      <c r="J6" s="13" t="s">
        <v>27</v>
      </c>
      <c r="K6" s="13"/>
      <c r="L6" s="15" t="n">
        <f aca="true">IFERROR(IF(AND(J6&lt;&gt;"Closed",J6&lt;&gt;"Not Applicable",I6&lt;&gt;"",TODAY()&gt;DATEVALUE(I6)),TODAY()-DATEVALUE(I6),IF(K6&lt;&gt;"",DATEVALUE(K6)-DATEVALUE(I6),0)),0)</f>
        <v>0</v>
      </c>
      <c r="M6" s="14"/>
    </row>
    <row r="7" customFormat="false" ht="15" hidden="false" customHeight="true" outlineLevel="0" collapsed="false">
      <c r="A7" s="13" t="n">
        <v>6</v>
      </c>
      <c r="L7" s="15" t="n">
        <f aca="true">IFERROR(IF(AND(J7&lt;&gt;"Closed",J7&lt;&gt;"Not Applicable",I7&lt;&gt;"",TODAY()&gt;DATEVALUE(I7)),TODAY()-DATEVALUE(I7),IF(K7&lt;&gt;"",DATEVALUE(K7)-DATEVALUE(I7),0)),0)</f>
        <v>0</v>
      </c>
    </row>
    <row r="8" customFormat="false" ht="15" hidden="false" customHeight="true" outlineLevel="0" collapsed="false">
      <c r="A8" s="13" t="n">
        <v>7</v>
      </c>
      <c r="L8" s="15" t="n">
        <f aca="true">IFERROR(IF(AND(J8&lt;&gt;"Closed",J8&lt;&gt;"Not Applicable",I8&lt;&gt;"",TODAY()&gt;DATEVALUE(I8)),TODAY()-DATEVALUE(I8),IF(K8&lt;&gt;"",DATEVALUE(K8)-DATEVALUE(I8),0)),0)</f>
        <v>0</v>
      </c>
    </row>
    <row r="9" customFormat="false" ht="15" hidden="false" customHeight="true" outlineLevel="0" collapsed="false">
      <c r="A9" s="13" t="n">
        <v>8</v>
      </c>
      <c r="L9" s="15" t="n">
        <f aca="true">IFERROR(IF(AND(J9&lt;&gt;"Closed",J9&lt;&gt;"Not Applicable",I9&lt;&gt;"",TODAY()&gt;DATEVALUE(I9)),TODAY()-DATEVALUE(I9),IF(K9&lt;&gt;"",DATEVALUE(K9)-DATEVALUE(I9),0)),0)</f>
        <v>0</v>
      </c>
    </row>
    <row r="10" customFormat="false" ht="15" hidden="false" customHeight="true" outlineLevel="0" collapsed="false">
      <c r="A10" s="13" t="n">
        <v>9</v>
      </c>
      <c r="L10" s="15" t="n">
        <f aca="true">IFERROR(IF(AND(J10&lt;&gt;"Closed",J10&lt;&gt;"Not Applicable",I10&lt;&gt;"",TODAY()&gt;DATEVALUE(I10)),TODAY()-DATEVALUE(I10),IF(K10&lt;&gt;"",DATEVALUE(K10)-DATEVALUE(I10),0)),0)</f>
        <v>0</v>
      </c>
    </row>
    <row r="11" customFormat="false" ht="15" hidden="false" customHeight="true" outlineLevel="0" collapsed="false">
      <c r="A11" s="13" t="n">
        <v>10</v>
      </c>
      <c r="L11" s="15" t="n">
        <f aca="true">IFERROR(IF(AND(J11&lt;&gt;"Closed",J11&lt;&gt;"Not Applicable",I11&lt;&gt;"",TODAY()&gt;DATEVALUE(I11)),TODAY()-DATEVALUE(I11),IF(K11&lt;&gt;"",DATEVALUE(K11)-DATEVALUE(I11),0)),0)</f>
        <v>0</v>
      </c>
    </row>
    <row r="12" customFormat="false" ht="15" hidden="false" customHeight="true" outlineLevel="0" collapsed="false">
      <c r="A12" s="13" t="n">
        <v>11</v>
      </c>
      <c r="L12" s="15" t="n">
        <f aca="true">IFERROR(IF(AND(J12&lt;&gt;"Closed",J12&lt;&gt;"Not Applicable",I12&lt;&gt;"",TODAY()&gt;DATEVALUE(I12)),TODAY()-DATEVALUE(I12),IF(K12&lt;&gt;"",DATEVALUE(K12)-DATEVALUE(I12),0)),0)</f>
        <v>0</v>
      </c>
    </row>
    <row r="13" customFormat="false" ht="15" hidden="false" customHeight="true" outlineLevel="0" collapsed="false">
      <c r="A13" s="13" t="n">
        <v>12</v>
      </c>
      <c r="L13" s="15" t="n">
        <f aca="true">IFERROR(IF(AND(J13&lt;&gt;"Closed",J13&lt;&gt;"Not Applicable",I13&lt;&gt;"",TODAY()&gt;DATEVALUE(I13)),TODAY()-DATEVALUE(I13),IF(K13&lt;&gt;"",DATEVALUE(K13)-DATEVALUE(I13),0)),0)</f>
        <v>0</v>
      </c>
    </row>
    <row r="14" customFormat="false" ht="15" hidden="false" customHeight="true" outlineLevel="0" collapsed="false">
      <c r="A14" s="13" t="n">
        <v>13</v>
      </c>
      <c r="L14" s="15" t="n">
        <f aca="true">IFERROR(IF(AND(J14&lt;&gt;"Closed",J14&lt;&gt;"Not Applicable",I14&lt;&gt;"",TODAY()&gt;DATEVALUE(I14)),TODAY()-DATEVALUE(I14),IF(K14&lt;&gt;"",DATEVALUE(K14)-DATEVALUE(I14),0)),0)</f>
        <v>0</v>
      </c>
    </row>
    <row r="15" customFormat="false" ht="15" hidden="false" customHeight="true" outlineLevel="0" collapsed="false">
      <c r="A15" s="13" t="n">
        <v>14</v>
      </c>
      <c r="L15" s="15" t="n">
        <f aca="true">IFERROR(IF(AND(J15&lt;&gt;"Closed",J15&lt;&gt;"Not Applicable",I15&lt;&gt;"",TODAY()&gt;DATEVALUE(I15)),TODAY()-DATEVALUE(I15),IF(K15&lt;&gt;"",DATEVALUE(K15)-DATEVALUE(I15),0)),0)</f>
        <v>0</v>
      </c>
    </row>
    <row r="16" customFormat="false" ht="15" hidden="false" customHeight="true" outlineLevel="0" collapsed="false">
      <c r="A16" s="13" t="n">
        <v>15</v>
      </c>
      <c r="L16" s="15" t="n">
        <f aca="true">IFERROR(IF(AND(J16&lt;&gt;"Closed",J16&lt;&gt;"Not Applicable",I16&lt;&gt;"",TODAY()&gt;DATEVALUE(I16)),TODAY()-DATEVALUE(I16),IF(K16&lt;&gt;"",DATEVALUE(K16)-DATEVALUE(I16),0)),0)</f>
        <v>0</v>
      </c>
    </row>
    <row r="17" customFormat="false" ht="15" hidden="false" customHeight="true" outlineLevel="0" collapsed="false">
      <c r="A17" s="13" t="n">
        <v>16</v>
      </c>
      <c r="L17" s="15" t="n">
        <f aca="true">IFERROR(IF(AND(J17&lt;&gt;"Closed",J17&lt;&gt;"Not Applicable",I17&lt;&gt;"",TODAY()&gt;DATEVALUE(I17)),TODAY()-DATEVALUE(I17),IF(K17&lt;&gt;"",DATEVALUE(K17)-DATEVALUE(I17),0)),0)</f>
        <v>0</v>
      </c>
    </row>
    <row r="18" customFormat="false" ht="15" hidden="false" customHeight="true" outlineLevel="0" collapsed="false">
      <c r="A18" s="13" t="n">
        <v>17</v>
      </c>
      <c r="L18" s="15" t="n">
        <f aca="true">IFERROR(IF(AND(J18&lt;&gt;"Closed",J18&lt;&gt;"Not Applicable",I18&lt;&gt;"",TODAY()&gt;DATEVALUE(I18)),TODAY()-DATEVALUE(I18),IF(K18&lt;&gt;"",DATEVALUE(K18)-DATEVALUE(I18),0)),0)</f>
        <v>0</v>
      </c>
    </row>
    <row r="19" customFormat="false" ht="15" hidden="false" customHeight="true" outlineLevel="0" collapsed="false">
      <c r="A19" s="13" t="n">
        <v>18</v>
      </c>
      <c r="L19" s="15" t="n">
        <f aca="true">IFERROR(IF(AND(J19&lt;&gt;"Closed",J19&lt;&gt;"Not Applicable",I19&lt;&gt;"",TODAY()&gt;DATEVALUE(I19)),TODAY()-DATEVALUE(I19),IF(K19&lt;&gt;"",DATEVALUE(K19)-DATEVALUE(I19),0)),0)</f>
        <v>0</v>
      </c>
    </row>
    <row r="20" customFormat="false" ht="15" hidden="false" customHeight="true" outlineLevel="0" collapsed="false">
      <c r="A20" s="13" t="n">
        <v>19</v>
      </c>
      <c r="L20" s="15" t="n">
        <f aca="true">IFERROR(IF(AND(J20&lt;&gt;"Closed",J20&lt;&gt;"Not Applicable",I20&lt;&gt;"",TODAY()&gt;DATEVALUE(I20)),TODAY()-DATEVALUE(I20),IF(K20&lt;&gt;"",DATEVALUE(K20)-DATEVALUE(I20),0)),0)</f>
        <v>0</v>
      </c>
    </row>
    <row r="21" customFormat="false" ht="15" hidden="false" customHeight="true" outlineLevel="0" collapsed="false">
      <c r="A21" s="13" t="n">
        <v>20</v>
      </c>
      <c r="L21" s="15" t="n">
        <f aca="true">IFERROR(IF(AND(J21&lt;&gt;"Closed",J21&lt;&gt;"Not Applicable",I21&lt;&gt;"",TODAY()&gt;DATEVALUE(I21)),TODAY()-DATEVALUE(I21),IF(K21&lt;&gt;"",DATEVALUE(K21)-DATEVALUE(I21),0)),0)</f>
        <v>0</v>
      </c>
    </row>
    <row r="22" customFormat="false" ht="15" hidden="false" customHeight="true" outlineLevel="0" collapsed="false">
      <c r="A22" s="13" t="n">
        <v>21</v>
      </c>
      <c r="L22" s="15" t="n">
        <f aca="true">IFERROR(IF(AND(J22&lt;&gt;"Closed",J22&lt;&gt;"Not Applicable",I22&lt;&gt;"",TODAY()&gt;DATEVALUE(I22)),TODAY()-DATEVALUE(I22),IF(K22&lt;&gt;"",DATEVALUE(K22)-DATEVALUE(I22),0)),0)</f>
        <v>0</v>
      </c>
    </row>
    <row r="23" customFormat="false" ht="15" hidden="false" customHeight="true" outlineLevel="0" collapsed="false">
      <c r="A23" s="13" t="n">
        <v>22</v>
      </c>
      <c r="L23" s="15" t="n">
        <f aca="true">IFERROR(IF(AND(J23&lt;&gt;"Closed",J23&lt;&gt;"Not Applicable",I23&lt;&gt;"",TODAY()&gt;DATEVALUE(I23)),TODAY()-DATEVALUE(I23),IF(K23&lt;&gt;"",DATEVALUE(K23)-DATEVALUE(I23),0)),0)</f>
        <v>0</v>
      </c>
    </row>
    <row r="24" customFormat="false" ht="15" hidden="false" customHeight="true" outlineLevel="0" collapsed="false">
      <c r="A24" s="13" t="n">
        <v>23</v>
      </c>
      <c r="L24" s="15" t="n">
        <f aca="true">IFERROR(IF(AND(J24&lt;&gt;"Closed",J24&lt;&gt;"Not Applicable",I24&lt;&gt;"",TODAY()&gt;DATEVALUE(I24)),TODAY()-DATEVALUE(I24),IF(K24&lt;&gt;"",DATEVALUE(K24)-DATEVALUE(I24),0)),0)</f>
        <v>0</v>
      </c>
    </row>
    <row r="25" customFormat="false" ht="15" hidden="false" customHeight="true" outlineLevel="0" collapsed="false">
      <c r="A25" s="13" t="n">
        <v>24</v>
      </c>
      <c r="L25" s="15" t="n">
        <f aca="true">IFERROR(IF(AND(J25&lt;&gt;"Closed",J25&lt;&gt;"Not Applicable",I25&lt;&gt;"",TODAY()&gt;DATEVALUE(I25)),TODAY()-DATEVALUE(I25),IF(K25&lt;&gt;"",DATEVALUE(K25)-DATEVALUE(I25),0)),0)</f>
        <v>0</v>
      </c>
    </row>
    <row r="26" customFormat="false" ht="15" hidden="false" customHeight="true" outlineLevel="0" collapsed="false">
      <c r="A26" s="13" t="n">
        <v>25</v>
      </c>
      <c r="L26" s="15" t="n">
        <f aca="true">IFERROR(IF(AND(J26&lt;&gt;"Closed",J26&lt;&gt;"Not Applicable",I26&lt;&gt;"",TODAY()&gt;DATEVALUE(I26)),TODAY()-DATEVALUE(I26),IF(K26&lt;&gt;"",DATEVALUE(K26)-DATEVALUE(I26),0)),0)</f>
        <v>0</v>
      </c>
    </row>
  </sheetData>
  <autoFilter ref="A1:M26"/>
  <conditionalFormatting sqref="L2:L26">
    <cfRule type="cellIs" priority="2" operator="greaterThan" aboveAverage="0" equalAverage="0" bottom="0" percent="0" rank="0" text="" dxfId="10">
      <formula>30</formula>
    </cfRule>
  </conditionalFormatting>
  <dataValidations count="2">
    <dataValidation allowBlank="true" errorStyle="stop" operator="between" showDropDown="false" showErrorMessage="false" showInputMessage="false" sqref="E2:E26" type="list">
      <formula1>"Critical,High,Medium,Low,Observation"</formula1>
      <formula2>0</formula2>
    </dataValidation>
    <dataValidation allowBlank="true" errorStyle="stop" operator="between" showDropDown="false" showErrorMessage="false" showInputMessage="false" sqref="J2:J26" type="list">
      <formula1>"Open,In Progress,Closed,Not Applicable"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L2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3"/>
    <col collapsed="false" customWidth="true" hidden="false" outlineLevel="0" max="12" min="2" style="1" width="14"/>
  </cols>
  <sheetData>
    <row r="2" customFormat="false" ht="31.5" hidden="false" customHeight="true" outlineLevel="0" collapsed="false">
      <c r="B2" s="17" t="s">
        <v>119</v>
      </c>
      <c r="C2" s="17"/>
      <c r="D2" s="17"/>
      <c r="E2" s="17"/>
      <c r="F2" s="17"/>
      <c r="G2" s="17"/>
      <c r="H2" s="17"/>
      <c r="I2" s="17"/>
      <c r="J2" s="17"/>
      <c r="K2" s="17"/>
      <c r="L2" s="17"/>
    </row>
    <row r="4" customFormat="false" ht="21.75" hidden="false" customHeight="true" outlineLevel="0" collapsed="false">
      <c r="B4" s="18" t="s">
        <v>120</v>
      </c>
      <c r="C4" s="18"/>
      <c r="D4" s="19" t="s">
        <v>121</v>
      </c>
      <c r="E4" s="19"/>
      <c r="F4" s="18" t="s">
        <v>122</v>
      </c>
      <c r="G4" s="18"/>
      <c r="H4" s="18" t="s">
        <v>123</v>
      </c>
      <c r="I4" s="18"/>
      <c r="J4" s="18" t="s">
        <v>124</v>
      </c>
      <c r="K4" s="18"/>
    </row>
    <row r="5" customFormat="false" ht="19.5" hidden="false" customHeight="true" outlineLevel="0" collapsed="false">
      <c r="B5" s="20" t="n">
        <f aca="false">IFERROR(SUMPRODUCT('Audit Checklist'!G2:G21,'Audit Checklist'!F2:F21)/SUM('Audit Checklist'!F2:F21)*100,0)</f>
        <v>67.5675675675676</v>
      </c>
      <c r="C5" s="20"/>
      <c r="D5" s="21" t="n">
        <f aca="false">COUNTA('Audit Checklist'!B2:B51)</f>
        <v>20</v>
      </c>
      <c r="E5" s="21"/>
      <c r="F5" s="20" t="n">
        <f aca="false">COUNTIF('Findings Register'!J2:J26,"Open")+COUNTIF('Findings Register'!J2:J26,"In Progress")</f>
        <v>5</v>
      </c>
      <c r="G5" s="20"/>
      <c r="H5" s="20" t="n">
        <f aca="false">COUNTIF('Findings Register'!E2:E26,"Critical")+COUNTIF('Findings Register'!E2:E26,"High")</f>
        <v>3</v>
      </c>
      <c r="I5" s="20"/>
      <c r="J5" s="20" t="n">
        <f aca="false">COUNTIF('Findings Register'!J2:J26,"Closed")</f>
        <v>0</v>
      </c>
      <c r="K5" s="20"/>
    </row>
    <row r="6" customFormat="false" ht="19.5" hidden="false" customHeight="true" outlineLevel="0" collapsed="false">
      <c r="B6" s="20"/>
      <c r="C6" s="20"/>
      <c r="D6" s="21"/>
      <c r="E6" s="21"/>
      <c r="F6" s="20"/>
      <c r="G6" s="20"/>
      <c r="H6" s="20"/>
      <c r="I6" s="20"/>
      <c r="J6" s="20"/>
      <c r="K6" s="20"/>
    </row>
    <row r="9" customFormat="false" ht="24" hidden="false" customHeight="true" outlineLevel="0" collapsed="false">
      <c r="B9" s="22" t="s">
        <v>125</v>
      </c>
      <c r="C9" s="22"/>
      <c r="D9" s="22"/>
      <c r="E9" s="22"/>
      <c r="F9" s="22"/>
      <c r="G9" s="22"/>
    </row>
    <row r="10" customFormat="false" ht="15" hidden="false" customHeight="true" outlineLevel="0" collapsed="false">
      <c r="B10" s="12" t="s">
        <v>83</v>
      </c>
      <c r="C10" s="12" t="s">
        <v>29</v>
      </c>
      <c r="D10" s="12" t="s">
        <v>126</v>
      </c>
      <c r="E10" s="12" t="s">
        <v>34</v>
      </c>
      <c r="F10" s="12" t="s">
        <v>127</v>
      </c>
    </row>
    <row r="11" customFormat="false" ht="23.25" hidden="false" customHeight="true" outlineLevel="0" collapsed="false">
      <c r="B11" s="14" t="s">
        <v>25</v>
      </c>
      <c r="C11" s="13" t="n">
        <f aca="false">COUNTIFS('Audit Checklist'!B2:B51,"Document Control",'Audit Checklist'!E2:E51,"Compliant")</f>
        <v>2</v>
      </c>
      <c r="D11" s="13" t="n">
        <f aca="false">COUNTIFS('Audit Checklist'!B2:B51,"Document Control",'Audit Checklist'!E2:E51,"Partially Compliant")</f>
        <v>1</v>
      </c>
      <c r="E11" s="13" t="n">
        <f aca="false">COUNTIFS('Audit Checklist'!B2:B51,"Document Control",'Audit Checklist'!E2:E51,"Non-Compliant")</f>
        <v>0</v>
      </c>
      <c r="F11" s="15" t="n">
        <f aca="false">IFERROR(C11/(C11+D11*0.5+E11)*100,0)</f>
        <v>80</v>
      </c>
    </row>
    <row r="12" customFormat="false" ht="23.25" hidden="false" customHeight="true" outlineLevel="0" collapsed="false">
      <c r="B12" s="14" t="s">
        <v>30</v>
      </c>
      <c r="C12" s="13" t="n">
        <f aca="false">COUNTIFS('Audit Checklist'!B2:B51,"Competency &amp; Training",'Audit Checklist'!E2:E51,"Compliant")</f>
        <v>0</v>
      </c>
      <c r="D12" s="13" t="n">
        <f aca="false">COUNTIFS('Audit Checklist'!B2:B51,"Competency &amp; Training",'Audit Checklist'!E2:E51,"Partially Compliant")</f>
        <v>1</v>
      </c>
      <c r="E12" s="13" t="n">
        <f aca="false">COUNTIFS('Audit Checklist'!B2:B51,"Competency &amp; Training",'Audit Checklist'!E2:E51,"Non-Compliant")</f>
        <v>1</v>
      </c>
      <c r="F12" s="15" t="n">
        <f aca="false">IFERROR(C12/(C12+D12*0.5+E12)*100,0)</f>
        <v>0</v>
      </c>
    </row>
    <row r="13" customFormat="false" ht="15" hidden="false" customHeight="true" outlineLevel="0" collapsed="false">
      <c r="B13" s="14" t="s">
        <v>35</v>
      </c>
      <c r="C13" s="13" t="n">
        <f aca="false">COUNTIFS('Audit Checklist'!B2:B51,"Quality Control",'Audit Checklist'!E2:E51,"Compliant")</f>
        <v>1</v>
      </c>
      <c r="D13" s="13" t="n">
        <f aca="false">COUNTIFS('Audit Checklist'!B2:B51,"Quality Control",'Audit Checklist'!E2:E51,"Partially Compliant")</f>
        <v>1</v>
      </c>
      <c r="E13" s="13" t="n">
        <f aca="false">COUNTIFS('Audit Checklist'!B2:B51,"Quality Control",'Audit Checklist'!E2:E51,"Non-Compliant")</f>
        <v>0</v>
      </c>
      <c r="F13" s="15" t="n">
        <f aca="false">IFERROR(C13/(C13+D13*0.5+E13)*100,0)</f>
        <v>66.6666666666667</v>
      </c>
    </row>
    <row r="14" customFormat="false" ht="15" hidden="false" customHeight="true" outlineLevel="0" collapsed="false">
      <c r="B14" s="14" t="s">
        <v>40</v>
      </c>
      <c r="C14" s="13" t="n">
        <f aca="false">COUNTIFS('Audit Checklist'!B2:B51,"CAPA",'Audit Checklist'!E2:E51,"Compliant")</f>
        <v>1</v>
      </c>
      <c r="D14" s="13" t="n">
        <f aca="false">COUNTIFS('Audit Checklist'!B2:B51,"CAPA",'Audit Checklist'!E2:E51,"Partially Compliant")</f>
        <v>0</v>
      </c>
      <c r="E14" s="13" t="n">
        <f aca="false">COUNTIFS('Audit Checklist'!B2:B51,"CAPA",'Audit Checklist'!E2:E51,"Non-Compliant")</f>
        <v>1</v>
      </c>
      <c r="F14" s="15" t="n">
        <f aca="false">IFERROR(C14/(C14+D14*0.5+E14)*100,0)</f>
        <v>50</v>
      </c>
    </row>
    <row r="15" customFormat="false" ht="23.25" hidden="false" customHeight="true" outlineLevel="0" collapsed="false">
      <c r="B15" s="14" t="s">
        <v>44</v>
      </c>
      <c r="C15" s="13" t="n">
        <f aca="false">COUNTIFS('Audit Checklist'!B2:B51,"Equipment Management",'Audit Checklist'!E2:E51,"Compliant")</f>
        <v>1</v>
      </c>
      <c r="D15" s="13" t="n">
        <f aca="false">COUNTIFS('Audit Checklist'!B2:B51,"Equipment Management",'Audit Checklist'!E2:E51,"Partially Compliant")</f>
        <v>1</v>
      </c>
      <c r="E15" s="13" t="n">
        <f aca="false">COUNTIFS('Audit Checklist'!B2:B51,"Equipment Management",'Audit Checklist'!E2:E51,"Non-Compliant")</f>
        <v>0</v>
      </c>
      <c r="F15" s="15" t="n">
        <f aca="false">IFERROR(C15/(C15+D15*0.5+E15)*100,0)</f>
        <v>66.6666666666667</v>
      </c>
    </row>
    <row r="16" customFormat="false" ht="15" hidden="false" customHeight="true" outlineLevel="0" collapsed="false">
      <c r="B16" s="14" t="s">
        <v>45</v>
      </c>
      <c r="C16" s="13" t="n">
        <f aca="false">COUNTIFS('Audit Checklist'!B2:B51,"Safety",'Audit Checklist'!E2:E51,"Compliant")</f>
        <v>2</v>
      </c>
      <c r="D16" s="13" t="n">
        <f aca="false">COUNTIFS('Audit Checklist'!B2:B51,"Safety",'Audit Checklist'!E2:E51,"Partially Compliant")</f>
        <v>0</v>
      </c>
      <c r="E16" s="13" t="n">
        <f aca="false">COUNTIFS('Audit Checklist'!B2:B51,"Safety",'Audit Checklist'!E2:E51,"Non-Compliant")</f>
        <v>0</v>
      </c>
      <c r="F16" s="15" t="n">
        <f aca="false">IFERROR(C16/(C16+D16*0.5+E16)*100,0)</f>
        <v>100</v>
      </c>
    </row>
    <row r="17" customFormat="false" ht="15" hidden="false" customHeight="true" outlineLevel="0" collapsed="false">
      <c r="B17" s="14" t="s">
        <v>46</v>
      </c>
      <c r="C17" s="13" t="n">
        <f aca="false">COUNTIFS('Audit Checklist'!B2:B51,"Personnel",'Audit Checklist'!E2:E51,"Compliant")</f>
        <v>0</v>
      </c>
      <c r="D17" s="13" t="n">
        <f aca="false">COUNTIFS('Audit Checklist'!B2:B51,"Personnel",'Audit Checklist'!E2:E51,"Partially Compliant")</f>
        <v>1</v>
      </c>
      <c r="E17" s="13" t="n">
        <f aca="false">COUNTIFS('Audit Checklist'!B2:B51,"Personnel",'Audit Checklist'!E2:E51,"Non-Compliant")</f>
        <v>0</v>
      </c>
      <c r="F17" s="15" t="n">
        <f aca="false">IFERROR(C17/(C17+D17*0.5+E17)*100,0)</f>
        <v>0</v>
      </c>
    </row>
    <row r="18" customFormat="false" ht="23.25" hidden="false" customHeight="true" outlineLevel="0" collapsed="false">
      <c r="B18" s="14" t="s">
        <v>47</v>
      </c>
      <c r="C18" s="13" t="n">
        <f aca="false">COUNTIFS('Audit Checklist'!B2:B51,"Facilities &amp; Environment",'Audit Checklist'!E2:E51,"Compliant")</f>
        <v>2</v>
      </c>
      <c r="D18" s="13" t="n">
        <f aca="false">COUNTIFS('Audit Checklist'!B2:B51,"Facilities &amp; Environment",'Audit Checklist'!E2:E51,"Partially Compliant")</f>
        <v>0</v>
      </c>
      <c r="E18" s="13" t="n">
        <f aca="false">COUNTIFS('Audit Checklist'!B2:B51,"Facilities &amp; Environment",'Audit Checklist'!E2:E51,"Non-Compliant")</f>
        <v>0</v>
      </c>
      <c r="F18" s="15" t="n">
        <f aca="false">IFERROR(C18/(C18+D18*0.5+E18)*100,0)</f>
        <v>100</v>
      </c>
    </row>
    <row r="19" customFormat="false" ht="23.25" hidden="false" customHeight="true" outlineLevel="0" collapsed="false">
      <c r="B19" s="14" t="s">
        <v>48</v>
      </c>
      <c r="C19" s="13" t="n">
        <f aca="false">COUNTIFS('Audit Checklist'!B2:B51,"Information Management",'Audit Checklist'!E2:E51,"Compliant")</f>
        <v>1</v>
      </c>
      <c r="D19" s="13" t="n">
        <f aca="false">COUNTIFS('Audit Checklist'!B2:B51,"Information Management",'Audit Checklist'!E2:E51,"Partially Compliant")</f>
        <v>1</v>
      </c>
      <c r="E19" s="13" t="n">
        <f aca="false">COUNTIFS('Audit Checklist'!B2:B51,"Information Management",'Audit Checklist'!E2:E51,"Non-Compliant")</f>
        <v>0</v>
      </c>
      <c r="F19" s="15" t="n">
        <f aca="false">IFERROR(C19/(C19+D19*0.5+E19)*100,0)</f>
        <v>66.6666666666667</v>
      </c>
    </row>
    <row r="20" customFormat="false" ht="15" hidden="false" customHeight="true" outlineLevel="0" collapsed="false">
      <c r="B20" s="14" t="s">
        <v>49</v>
      </c>
      <c r="C20" s="13" t="n">
        <f aca="false">COUNTIFS('Audit Checklist'!B2:B51,"Service Quality",'Audit Checklist'!E2:E51,"Compliant")</f>
        <v>1</v>
      </c>
      <c r="D20" s="13" t="n">
        <f aca="false">COUNTIFS('Audit Checklist'!B2:B51,"Service Quality",'Audit Checklist'!E2:E51,"Partially Compliant")</f>
        <v>0</v>
      </c>
      <c r="E20" s="13" t="n">
        <f aca="false">COUNTIFS('Audit Checklist'!B2:B51,"Service Quality",'Audit Checklist'!E2:E51,"Non-Compliant")</f>
        <v>0</v>
      </c>
      <c r="F20" s="15" t="n">
        <f aca="false">IFERROR(C20/(C20+D20*0.5+E20)*100,0)</f>
        <v>100</v>
      </c>
    </row>
    <row r="22" customFormat="false" ht="24" hidden="false" customHeight="true" outlineLevel="0" collapsed="false">
      <c r="B22" s="22" t="s">
        <v>128</v>
      </c>
      <c r="C22" s="22"/>
      <c r="D22" s="22"/>
      <c r="E22" s="22"/>
      <c r="F22" s="22"/>
      <c r="G22" s="22"/>
    </row>
    <row r="23" customFormat="false" ht="15" hidden="false" customHeight="true" outlineLevel="0" collapsed="false">
      <c r="B23" s="12" t="s">
        <v>57</v>
      </c>
      <c r="C23" s="12" t="s">
        <v>129</v>
      </c>
    </row>
    <row r="24" customFormat="false" ht="15" hidden="false" customHeight="true" outlineLevel="0" collapsed="false">
      <c r="B24" s="14" t="s">
        <v>26</v>
      </c>
      <c r="C24" s="16" t="n">
        <f aca="false">COUNTIF('Findings Register'!E2:E26,"Critical")</f>
        <v>1</v>
      </c>
    </row>
    <row r="25" customFormat="false" ht="15" hidden="false" customHeight="true" outlineLevel="0" collapsed="false">
      <c r="B25" s="14" t="s">
        <v>31</v>
      </c>
      <c r="C25" s="16" t="n">
        <f aca="false">COUNTIF('Findings Register'!E2:E26,"High")</f>
        <v>2</v>
      </c>
    </row>
    <row r="26" customFormat="false" ht="15" hidden="false" customHeight="true" outlineLevel="0" collapsed="false">
      <c r="B26" s="14" t="s">
        <v>36</v>
      </c>
      <c r="C26" s="16" t="n">
        <f aca="false">COUNTIF('Findings Register'!E2:E26,"Medium")</f>
        <v>2</v>
      </c>
    </row>
    <row r="27" customFormat="false" ht="15" hidden="false" customHeight="true" outlineLevel="0" collapsed="false">
      <c r="B27" s="14" t="s">
        <v>41</v>
      </c>
      <c r="C27" s="16" t="n">
        <f aca="false">COUNTIF('Findings Register'!E2:E26,"Low")</f>
        <v>0</v>
      </c>
    </row>
    <row r="28" customFormat="false" ht="15" hidden="false" customHeight="true" outlineLevel="0" collapsed="false">
      <c r="B28" s="14" t="s">
        <v>33</v>
      </c>
      <c r="C28" s="16" t="n">
        <f aca="false">COUNTIF('Findings Register'!E2:E26,"Observation")</f>
        <v>0</v>
      </c>
    </row>
  </sheetData>
  <mergeCells count="13">
    <mergeCell ref="B2:L2"/>
    <mergeCell ref="B4:C4"/>
    <mergeCell ref="D4:E4"/>
    <mergeCell ref="F4:G4"/>
    <mergeCell ref="H4:I4"/>
    <mergeCell ref="J4:K4"/>
    <mergeCell ref="B5:C6"/>
    <mergeCell ref="D5:E6"/>
    <mergeCell ref="F5:G6"/>
    <mergeCell ref="H5:I6"/>
    <mergeCell ref="J5:K6"/>
    <mergeCell ref="B9:G9"/>
    <mergeCell ref="B22:G22"/>
  </mergeCells>
  <conditionalFormatting sqref="F11:F20">
    <cfRule type="dataBar" priority="2">
      <dataBar showValue="1" minLength="10" maxLength="90">
        <cfvo type="num" val="0"/>
        <cfvo type="num" val="100"/>
        <color rgb="FF087F83"/>
      </dataBar>
      <extLst>
        <ext xmlns:x14="http://schemas.microsoft.com/office/spreadsheetml/2009/9/main" uri="{B025F937-C7B1-47D3-B67F-A62EFF666E3E}">
          <x14:id>{1CB05C79-8379-44F0-BF1C-635D19BE5612}</x14:id>
        </ext>
      </extLst>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extLst>
    <ext xmlns:x14="http://schemas.microsoft.com/office/spreadsheetml/2009/9/main" uri="{78C0D931-6437-407d-A8EE-F0AAD7539E65}">
      <x14:conditionalFormattings>
        <x14:conditionalFormatting xmlns:xm="http://schemas.microsoft.com/office/excel/2006/main">
          <x14:cfRule type="dataBar" id="{1CB05C79-8379-44F0-BF1C-635D19BE5612}">
            <x14:dataBar minLength="10" maxLength="90" axisPosition="none" gradient="true">
              <x14:cfvo type="num">
                <xm:f>0</xm:f>
              </x14:cfvo>
              <x14:cfvo type="num">
                <xm:f>100</xm:f>
              </x14:cfvo>
              <x14:negativeFillColor rgb="FF087F83"/>
              <x14:axisColor rgb="FF000000"/>
            </x14:dataBar>
          </x14:cfRule>
          <xm:sqref>F11:F20</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Template/>
  <TotalTime>0</TotalTime>
  <Application>LibreOffice/26.2.6.3$Linux_X86_64 LibreOffice_project/620$Build-3</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2026-10-07T15:54:23Z</dcterms:created>
  <dc:creator>openpyxl</dc:creator>
  <dc:description/>
  <dc:language>en-US</dc:language>
  <cp:lastModifiedBy/>
  <dcterms:modified xsi:type="dcterms:W3CDTF">2026-10-07T15:54:55Z</dcterms:modified>
  <cp:revision>2</cp:revision>
  <dc:subject/>
  <dc:title/>
</cp:coreProperties>
</file>

<file path=docProps/custom.xml><?xml version="1.0" encoding="utf-8"?>
<Properties xmlns="http://schemas.openxmlformats.org/officeDocument/2006/custom-properties" xmlns:vt="http://schemas.openxmlformats.org/officeDocument/2006/docPropsVTypes"/>
</file>