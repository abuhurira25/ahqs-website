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structions" sheetId="1" state="visible" r:id="rId1"/>
    <sheet xmlns:r="http://schemas.openxmlformats.org/officeDocument/2006/relationships" name="Audit Checklist" sheetId="2" state="visible" r:id="rId2"/>
    <sheet xmlns:r="http://schemas.openxmlformats.org/officeDocument/2006/relationships" name="Summary" sheetId="3" state="visible" r:id="rId3"/>
  </sheets>
  <definedNames>
    <definedName name="_xlnm._FilterDatabase" localSheetId="1" hidden="1">'Audit Checklist'!$A$1:$K$36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71F3B"/>
      <sz val="20"/>
    </font>
    <font>
      <name val="Calibri"/>
      <i val="1"/>
      <color rgb="00087F83"/>
      <sz val="11"/>
    </font>
    <font>
      <name val="Calibri"/>
      <color rgb="00667789"/>
      <sz val="11"/>
    </font>
    <font>
      <name val="Calibri"/>
      <b val="1"/>
      <color rgb="00071F3B"/>
      <sz val="13"/>
    </font>
    <font>
      <name val="Calibri"/>
      <color rgb="00173047"/>
      <sz val="10"/>
    </font>
    <font>
      <name val="Calibri"/>
      <i val="1"/>
      <color rgb="00667789"/>
      <sz val="9"/>
    </font>
    <font>
      <name val="Calibri"/>
      <color rgb="00667789"/>
      <sz val="9"/>
    </font>
    <font>
      <name val="Calibri"/>
      <b val="1"/>
      <color rgb="00FFFFFF"/>
      <sz val="11"/>
    </font>
    <font>
      <name val="Calibri"/>
      <b val="1"/>
      <color rgb="00071F3B"/>
      <sz val="16"/>
    </font>
  </fonts>
  <fills count="4">
    <fill>
      <patternFill/>
    </fill>
    <fill>
      <patternFill patternType="gray125"/>
    </fill>
    <fill>
      <patternFill patternType="solid">
        <fgColor rgb="00087F83"/>
        <bgColor rgb="00087F83"/>
      </patternFill>
    </fill>
    <fill>
      <patternFill patternType="solid">
        <fgColor rgb="00071F3B"/>
        <bgColor rgb="00071F3B"/>
      </patternFill>
    </fill>
  </fills>
  <borders count="2">
    <border>
      <left/>
      <right/>
      <top/>
      <bottom/>
      <diagonal/>
    </border>
    <border>
      <left style="thin">
        <color rgb="00DCE6EB"/>
      </left>
      <right style="thin">
        <color rgb="00DCE6EB"/>
      </right>
      <top style="thin">
        <color rgb="00DCE6EB"/>
      </top>
      <bottom style="thin">
        <color rgb="00DCE6EB"/>
      </bottom>
    </border>
  </borders>
  <cellStyleXfs count="1">
    <xf numFmtId="0" fontId="0" fillId="0" borderId="0"/>
  </cellStyleXfs>
  <cellXfs count="12">
    <xf numFmtId="0" fontId="0" fillId="0" borderId="0" pivotButton="0" quotePrefix="0" xfId="0"/>
    <xf numFmtId="0" fontId="1" fillId="0" borderId="0" applyAlignment="1" pivotButton="0" quotePrefix="0" xfId="0">
      <alignment horizontal="left"/>
    </xf>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2" borderId="1" applyAlignment="1" pivotButton="0" quotePrefix="0" xfId="0">
      <alignment horizontal="center" vertical="center" wrapText="1"/>
    </xf>
    <xf numFmtId="0" fontId="5" fillId="0" borderId="1" applyAlignment="1" pivotButton="0" quotePrefix="0" xfId="0">
      <alignment vertical="center" wrapText="1"/>
    </xf>
    <xf numFmtId="0" fontId="9" fillId="0" borderId="0" pivotButton="0" quotePrefix="0" xfId="0"/>
    <xf numFmtId="0" fontId="8" fillId="3"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93345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8:B24"/>
  <sheetViews>
    <sheetView showGridLines="0" workbookViewId="0">
      <selection activeCell="A1" sqref="A1"/>
    </sheetView>
  </sheetViews>
  <sheetFormatPr baseColWidth="8" defaultRowHeight="15"/>
  <cols>
    <col width="4" customWidth="1" min="1" max="1"/>
    <col width="50" customWidth="1" min="2" max="2"/>
    <col width="4" customWidth="1" min="3" max="3"/>
  </cols>
  <sheetData>
    <row r="8">
      <c r="B8" s="1" t="inlineStr">
        <is>
          <t>Quality Audit Tool Template</t>
        </is>
      </c>
    </row>
    <row r="9">
      <c r="B9" s="2" t="inlineStr">
        <is>
          <t>AHQS — Accelerate Healthcare Quality Solutions</t>
        </is>
      </c>
    </row>
    <row r="11" ht="60" customHeight="1">
      <c r="B11" s="3" t="inlineStr">
        <is>
          <t>A structured internal audit checklist template for laboratory and healthcare quality audits. Covers document control, competency, QC, CAPA, equipment, and safety.</t>
        </is>
      </c>
    </row>
    <row r="13">
      <c r="B13" s="4" t="inlineStr">
        <is>
          <t>How to Use This Tool</t>
        </is>
      </c>
    </row>
    <row r="14">
      <c r="B14" s="5" t="inlineStr">
        <is>
          <t>1. Enter your organization name and facility details in the header area of each sheet</t>
        </is>
      </c>
    </row>
    <row r="15">
      <c r="B15" s="5" t="inlineStr">
        <is>
          <t>2. Fill in the data columns — yellow-shaded cells contain formulas and should not be edited</t>
        </is>
      </c>
    </row>
    <row r="16">
      <c r="B16" s="5" t="inlineStr">
        <is>
          <t>3. Use the dropdown menus where provided for consistent data entry</t>
        </is>
      </c>
    </row>
    <row r="17">
      <c r="B17" s="5" t="inlineStr">
        <is>
          <t>4. Review the summary/dashboard sheet for auto-calculated metrics</t>
        </is>
      </c>
    </row>
    <row r="18">
      <c r="B18" s="5" t="inlineStr">
        <is>
          <t>5. Save a copy for each audit cycle or reporting period</t>
        </is>
      </c>
    </row>
    <row r="19">
      <c r="B19" s="5" t="inlineStr">
        <is>
          <t>6. This tool is free to use and customize for your organization's internal quality improvement</t>
        </is>
      </c>
    </row>
    <row r="21">
      <c r="B21" s="4" t="inlineStr">
        <is>
          <t>Disclaimer</t>
        </is>
      </c>
    </row>
    <row r="22" ht="60" customHeight="1">
      <c r="B22" s="6" t="inlineStr">
        <is>
          <t>This is an AHQS-created quality improvement tool — not an official CAP, ISO 15189, JCI or AABB standards document. Always purchase official standards directly from the accrediting bodies. This template is provided free of charge for internal quality improvement use. © 2026 Accelerate Healthcare Quality Solutions (AHQS). Not for resale.</t>
        </is>
      </c>
    </row>
    <row r="24">
      <c r="B24" s="7" t="inlineStr">
        <is>
          <t>Tool ID: AHQS-AUD-001 | Version: 1.0 | Created: October 2026</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showGridLines="0" workbookViewId="0">
      <pane ySplit="1" topLeftCell="A2" activePane="bottomLeft" state="frozen"/>
      <selection pane="bottomLeft" activeCell="A1" sqref="A1"/>
    </sheetView>
  </sheetViews>
  <sheetFormatPr baseColWidth="8" defaultRowHeight="15"/>
  <cols>
    <col width="5" customWidth="1" min="1" max="1"/>
    <col width="20" customWidth="1" min="2" max="2"/>
    <col width="45" customWidth="1" min="3" max="3"/>
    <col width="15" customWidth="1" min="4" max="4"/>
    <col width="25" customWidth="1" min="5" max="5"/>
    <col width="12" customWidth="1" min="6" max="6"/>
    <col width="12" customWidth="1" min="7" max="7"/>
    <col width="30" customWidth="1" min="8" max="8"/>
    <col width="15" customWidth="1" min="9" max="9"/>
    <col width="12" customWidth="1" min="10" max="10"/>
    <col width="12" customWidth="1" min="11" max="11"/>
  </cols>
  <sheetData>
    <row r="1" ht="32" customHeight="1">
      <c r="A1" s="8" t="inlineStr">
        <is>
          <t>#</t>
        </is>
      </c>
      <c r="B1" s="8" t="inlineStr">
        <is>
          <t>Audit Area</t>
        </is>
      </c>
      <c r="C1" s="8" t="inlineStr">
        <is>
          <t>Audit Question</t>
        </is>
      </c>
      <c r="D1" s="8" t="inlineStr">
        <is>
          <t>Reference</t>
        </is>
      </c>
      <c r="E1" s="8" t="inlineStr">
        <is>
          <t>Finding</t>
        </is>
      </c>
      <c r="F1" s="8" t="inlineStr">
        <is>
          <t>Risk Level</t>
        </is>
      </c>
      <c r="G1" s="8" t="inlineStr">
        <is>
          <t>Status</t>
        </is>
      </c>
      <c r="H1" s="8" t="inlineStr">
        <is>
          <t>Corrective Action</t>
        </is>
      </c>
      <c r="I1" s="8" t="inlineStr">
        <is>
          <t>Owner</t>
        </is>
      </c>
      <c r="J1" s="8" t="inlineStr">
        <is>
          <t>Due Date</t>
        </is>
      </c>
      <c r="K1" s="8" t="inlineStr">
        <is>
          <t>Date Closed</t>
        </is>
      </c>
    </row>
    <row r="2">
      <c r="A2" s="9" t="n">
        <v>1</v>
      </c>
      <c r="B2" s="9" t="inlineStr">
        <is>
          <t>Document Control</t>
        </is>
      </c>
      <c r="C2" s="9" t="inlineStr">
        <is>
          <t>Are SOPs current, reviewed, and approved?</t>
        </is>
      </c>
      <c r="D2" s="9" t="inlineStr">
        <is>
          <t>ISO 15189 §8.3</t>
        </is>
      </c>
      <c r="E2" s="9" t="n"/>
      <c r="F2" s="9" t="n"/>
      <c r="G2" s="9" t="n"/>
      <c r="H2" s="9" t="n"/>
      <c r="I2" s="9" t="n"/>
      <c r="J2" s="9" t="n"/>
      <c r="K2" s="9" t="n"/>
    </row>
    <row r="3">
      <c r="A3" s="9" t="n">
        <v>2</v>
      </c>
      <c r="B3" s="9" t="inlineStr">
        <is>
          <t>Document Control</t>
        </is>
      </c>
      <c r="C3" s="9" t="inlineStr">
        <is>
          <t>Is there a master list of controlled documents?</t>
        </is>
      </c>
      <c r="D3" s="9" t="inlineStr">
        <is>
          <t>ISO 15189 §8.3</t>
        </is>
      </c>
      <c r="E3" s="9" t="n"/>
      <c r="F3" s="9" t="n"/>
      <c r="G3" s="9" t="n"/>
      <c r="H3" s="9" t="n"/>
      <c r="I3" s="9" t="n"/>
      <c r="J3" s="9" t="n"/>
      <c r="K3" s="9" t="n"/>
    </row>
    <row r="4">
      <c r="A4" s="9" t="n">
        <v>3</v>
      </c>
      <c r="B4" s="9" t="inlineStr">
        <is>
          <t>Competency</t>
        </is>
      </c>
      <c r="C4" s="9" t="inlineStr">
        <is>
          <t>Are competency assessments completed for all staff?</t>
        </is>
      </c>
      <c r="D4" s="9" t="inlineStr">
        <is>
          <t>ISO 15189 §7.2</t>
        </is>
      </c>
      <c r="E4" s="9" t="n"/>
      <c r="F4" s="9" t="n"/>
      <c r="G4" s="9" t="n"/>
      <c r="H4" s="9" t="n"/>
      <c r="I4" s="9" t="n"/>
      <c r="J4" s="9" t="n"/>
      <c r="K4" s="9" t="n"/>
    </row>
    <row r="5">
      <c r="A5" s="9" t="n">
        <v>4</v>
      </c>
      <c r="B5" s="9" t="inlineStr">
        <is>
          <t>Competency</t>
        </is>
      </c>
      <c r="C5" s="9" t="inlineStr">
        <is>
          <t>Are training records maintained and up to date?</t>
        </is>
      </c>
      <c r="D5" s="9" t="inlineStr">
        <is>
          <t>ISO 15189 §7.2</t>
        </is>
      </c>
      <c r="E5" s="9" t="n"/>
      <c r="F5" s="9" t="n"/>
      <c r="G5" s="9" t="n"/>
      <c r="H5" s="9" t="n"/>
      <c r="I5" s="9" t="n"/>
      <c r="J5" s="9" t="n"/>
      <c r="K5" s="9" t="n"/>
    </row>
    <row r="6">
      <c r="A6" s="9" t="n">
        <v>5</v>
      </c>
      <c r="B6" s="9" t="inlineStr">
        <is>
          <t>Quality Control</t>
        </is>
      </c>
      <c r="C6" s="9" t="inlineStr">
        <is>
          <t>Are QC records reviewed daily?</t>
        </is>
      </c>
      <c r="D6" s="9" t="inlineStr">
        <is>
          <t>ISO 15189 §7.3</t>
        </is>
      </c>
      <c r="E6" s="9" t="n"/>
      <c r="F6" s="9" t="n"/>
      <c r="G6" s="9" t="n"/>
      <c r="H6" s="9" t="n"/>
      <c r="I6" s="9" t="n"/>
      <c r="J6" s="9" t="n"/>
      <c r="K6" s="9" t="n"/>
    </row>
    <row r="7">
      <c r="A7" s="9" t="n">
        <v>6</v>
      </c>
      <c r="B7" s="9" t="inlineStr">
        <is>
          <t>Quality Control</t>
        </is>
      </c>
      <c r="C7" s="9" t="inlineStr">
        <is>
          <t>Are QC failures investigated and documented?</t>
        </is>
      </c>
      <c r="D7" s="9" t="inlineStr">
        <is>
          <t>ISO 15189 §7.3</t>
        </is>
      </c>
      <c r="E7" s="9" t="n"/>
      <c r="F7" s="9" t="n"/>
      <c r="G7" s="9" t="n"/>
      <c r="H7" s="9" t="n"/>
      <c r="I7" s="9" t="n"/>
      <c r="J7" s="9" t="n"/>
      <c r="K7" s="9" t="n"/>
    </row>
    <row r="8">
      <c r="A8" s="9" t="n">
        <v>7</v>
      </c>
      <c r="B8" s="9" t="inlineStr">
        <is>
          <t>CAPA</t>
        </is>
      </c>
      <c r="C8" s="9" t="inlineStr">
        <is>
          <t>Are corrective actions tracked to closure?</t>
        </is>
      </c>
      <c r="D8" s="9" t="inlineStr">
        <is>
          <t>ISO 15189 §7.10</t>
        </is>
      </c>
      <c r="E8" s="9" t="n"/>
      <c r="F8" s="9" t="n"/>
      <c r="G8" s="9" t="n"/>
      <c r="H8" s="9" t="n"/>
      <c r="I8" s="9" t="n"/>
      <c r="J8" s="9" t="n"/>
      <c r="K8" s="9" t="n"/>
    </row>
    <row r="9">
      <c r="A9" s="9" t="n">
        <v>8</v>
      </c>
      <c r="B9" s="9" t="inlineStr">
        <is>
          <t>CAPA</t>
        </is>
      </c>
      <c r="C9" s="9" t="inlineStr">
        <is>
          <t>Are root cause analyses performed for significant findings?</t>
        </is>
      </c>
      <c r="D9" s="9" t="inlineStr">
        <is>
          <t>ISO 15189 §7.10</t>
        </is>
      </c>
      <c r="E9" s="9" t="n"/>
      <c r="F9" s="9" t="n"/>
      <c r="G9" s="9" t="n"/>
      <c r="H9" s="9" t="n"/>
      <c r="I9" s="9" t="n"/>
      <c r="J9" s="9" t="n"/>
      <c r="K9" s="9" t="n"/>
    </row>
    <row r="10">
      <c r="A10" s="9" t="n">
        <v>9</v>
      </c>
      <c r="B10" s="9" t="inlineStr">
        <is>
          <t>Equipment</t>
        </is>
      </c>
      <c r="C10" s="9" t="inlineStr">
        <is>
          <t>Is equipment calibrated per schedule?</t>
        </is>
      </c>
      <c r="D10" s="9" t="inlineStr">
        <is>
          <t>ISO 15189 §7.1</t>
        </is>
      </c>
      <c r="E10" s="9" t="n"/>
      <c r="F10" s="9" t="n"/>
      <c r="G10" s="9" t="n"/>
      <c r="H10" s="9" t="n"/>
      <c r="I10" s="9" t="n"/>
      <c r="J10" s="9" t="n"/>
      <c r="K10" s="9" t="n"/>
    </row>
    <row r="11">
      <c r="A11" s="9" t="n">
        <v>10</v>
      </c>
      <c r="B11" s="9" t="inlineStr">
        <is>
          <t>Equipment</t>
        </is>
      </c>
      <c r="C11" s="9" t="inlineStr">
        <is>
          <t>Are maintenance records maintained?</t>
        </is>
      </c>
      <c r="D11" s="9" t="inlineStr">
        <is>
          <t>ISO 15189 §7.1</t>
        </is>
      </c>
      <c r="E11" s="9" t="n"/>
      <c r="F11" s="9" t="n"/>
      <c r="G11" s="9" t="n"/>
      <c r="H11" s="9" t="n"/>
      <c r="I11" s="9" t="n"/>
      <c r="J11" s="9" t="n"/>
      <c r="K11" s="9" t="n"/>
    </row>
    <row r="12">
      <c r="A12" s="9" t="n">
        <v>11</v>
      </c>
      <c r="B12" s="9" t="inlineStr">
        <is>
          <t>Safety</t>
        </is>
      </c>
      <c r="C12" s="9" t="inlineStr">
        <is>
          <t>Is PPE available and used appropriately?</t>
        </is>
      </c>
      <c r="D12" s="9" t="inlineStr">
        <is>
          <t>ISO 15189 §7.1</t>
        </is>
      </c>
      <c r="E12" s="9" t="n"/>
      <c r="F12" s="9" t="n"/>
      <c r="G12" s="9" t="n"/>
      <c r="H12" s="9" t="n"/>
      <c r="I12" s="9" t="n"/>
      <c r="J12" s="9" t="n"/>
      <c r="K12" s="9" t="n"/>
    </row>
    <row r="13">
      <c r="A13" s="9" t="n">
        <v>12</v>
      </c>
      <c r="B13" s="9" t="inlineStr">
        <is>
          <t>Safety</t>
        </is>
      </c>
      <c r="C13" s="9" t="inlineStr">
        <is>
          <t>Are safety incidents reported and investigated?</t>
        </is>
      </c>
      <c r="D13" s="9" t="inlineStr">
        <is>
          <t>ISO 15189 §7.1</t>
        </is>
      </c>
      <c r="E13" s="9" t="n"/>
      <c r="F13" s="9" t="n"/>
      <c r="G13" s="9" t="n"/>
      <c r="H13" s="9" t="n"/>
      <c r="I13" s="9" t="n"/>
      <c r="J13" s="9" t="n"/>
      <c r="K13" s="9" t="n"/>
    </row>
    <row r="14">
      <c r="A14" s="9" t="n">
        <v>13</v>
      </c>
      <c r="B14" s="9" t="inlineStr">
        <is>
          <t>Personnel</t>
        </is>
      </c>
      <c r="C14" s="9" t="inlineStr">
        <is>
          <t>Are job descriptions current?</t>
        </is>
      </c>
      <c r="D14" s="9" t="inlineStr">
        <is>
          <t>ISO 15189 §7.2</t>
        </is>
      </c>
      <c r="E14" s="9" t="n"/>
      <c r="F14" s="9" t="n"/>
      <c r="G14" s="9" t="n"/>
      <c r="H14" s="9" t="n"/>
      <c r="I14" s="9" t="n"/>
      <c r="J14" s="9" t="n"/>
      <c r="K14" s="9" t="n"/>
    </row>
    <row r="15">
      <c r="A15" s="9" t="n">
        <v>14</v>
      </c>
      <c r="B15" s="9" t="inlineStr">
        <is>
          <t>Personnel</t>
        </is>
      </c>
      <c r="C15" s="9" t="inlineStr">
        <is>
          <t>Are continuing education records maintained?</t>
        </is>
      </c>
      <c r="D15" s="9" t="inlineStr">
        <is>
          <t>ISO 15189 §7.2</t>
        </is>
      </c>
      <c r="E15" s="9" t="n"/>
      <c r="F15" s="9" t="n"/>
      <c r="G15" s="9" t="n"/>
      <c r="H15" s="9" t="n"/>
      <c r="I15" s="9" t="n"/>
      <c r="J15" s="9" t="n"/>
      <c r="K15" s="9" t="n"/>
    </row>
    <row r="16">
      <c r="A16" s="9" t="n">
        <v>15</v>
      </c>
      <c r="B16" s="9" t="inlineStr">
        <is>
          <t>Facilities</t>
        </is>
      </c>
      <c r="C16" s="9" t="inlineStr">
        <is>
          <t>Is temperature/humidity monitored and recorded?</t>
        </is>
      </c>
      <c r="D16" s="9" t="inlineStr">
        <is>
          <t>ISO 15189 §7.1</t>
        </is>
      </c>
      <c r="E16" s="9" t="n"/>
      <c r="F16" s="9" t="n"/>
      <c r="G16" s="9" t="n"/>
      <c r="H16" s="9" t="n"/>
      <c r="I16" s="9" t="n"/>
      <c r="J16" s="9" t="n"/>
      <c r="K16" s="9" t="n"/>
    </row>
    <row r="17">
      <c r="A17" s="9" t="n"/>
      <c r="B17" s="9" t="n"/>
      <c r="C17" s="9" t="n"/>
      <c r="D17" s="9" t="n"/>
      <c r="E17" s="9" t="n"/>
      <c r="F17" s="9" t="n"/>
      <c r="G17" s="9" t="n"/>
      <c r="H17" s="9" t="n"/>
      <c r="I17" s="9" t="n"/>
      <c r="J17" s="9" t="n"/>
      <c r="K17" s="9" t="n"/>
    </row>
    <row r="18">
      <c r="A18" s="9" t="n"/>
      <c r="B18" s="9" t="n"/>
      <c r="C18" s="9" t="n"/>
      <c r="D18" s="9" t="n"/>
      <c r="E18" s="9" t="n"/>
      <c r="F18" s="9" t="n"/>
      <c r="G18" s="9" t="n"/>
      <c r="H18" s="9" t="n"/>
      <c r="I18" s="9" t="n"/>
      <c r="J18" s="9" t="n"/>
      <c r="K18" s="9" t="n"/>
    </row>
    <row r="19">
      <c r="A19" s="9" t="n"/>
      <c r="B19" s="9" t="n"/>
      <c r="C19" s="9" t="n"/>
      <c r="D19" s="9" t="n"/>
      <c r="E19" s="9" t="n"/>
      <c r="F19" s="9" t="n"/>
      <c r="G19" s="9" t="n"/>
      <c r="H19" s="9" t="n"/>
      <c r="I19" s="9" t="n"/>
      <c r="J19" s="9" t="n"/>
      <c r="K19" s="9" t="n"/>
    </row>
    <row r="20">
      <c r="A20" s="9" t="n"/>
      <c r="B20" s="9" t="n"/>
      <c r="C20" s="9" t="n"/>
      <c r="D20" s="9" t="n"/>
      <c r="E20" s="9" t="n"/>
      <c r="F20" s="9" t="n"/>
      <c r="G20" s="9" t="n"/>
      <c r="H20" s="9" t="n"/>
      <c r="I20" s="9" t="n"/>
      <c r="J20" s="9" t="n"/>
      <c r="K20" s="9" t="n"/>
    </row>
    <row r="21">
      <c r="A21" s="9" t="n"/>
      <c r="B21" s="9" t="n"/>
      <c r="C21" s="9" t="n"/>
      <c r="D21" s="9" t="n"/>
      <c r="E21" s="9" t="n"/>
      <c r="F21" s="9" t="n"/>
      <c r="G21" s="9" t="n"/>
      <c r="H21" s="9" t="n"/>
      <c r="I21" s="9" t="n"/>
      <c r="J21" s="9" t="n"/>
      <c r="K21" s="9" t="n"/>
    </row>
    <row r="22">
      <c r="A22" s="9" t="n"/>
      <c r="B22" s="9" t="n"/>
      <c r="C22" s="9" t="n"/>
      <c r="D22" s="9" t="n"/>
      <c r="E22" s="9" t="n"/>
      <c r="F22" s="9" t="n"/>
      <c r="G22" s="9" t="n"/>
      <c r="H22" s="9" t="n"/>
      <c r="I22" s="9" t="n"/>
      <c r="J22" s="9" t="n"/>
      <c r="K22" s="9" t="n"/>
    </row>
    <row r="23">
      <c r="A23" s="9" t="n"/>
      <c r="B23" s="9" t="n"/>
      <c r="C23" s="9" t="n"/>
      <c r="D23" s="9" t="n"/>
      <c r="E23" s="9" t="n"/>
      <c r="F23" s="9" t="n"/>
      <c r="G23" s="9" t="n"/>
      <c r="H23" s="9" t="n"/>
      <c r="I23" s="9" t="n"/>
      <c r="J23" s="9" t="n"/>
      <c r="K23" s="9" t="n"/>
    </row>
    <row r="24">
      <c r="A24" s="9" t="n"/>
      <c r="B24" s="9" t="n"/>
      <c r="C24" s="9" t="n"/>
      <c r="D24" s="9" t="n"/>
      <c r="E24" s="9" t="n"/>
      <c r="F24" s="9" t="n"/>
      <c r="G24" s="9" t="n"/>
      <c r="H24" s="9" t="n"/>
      <c r="I24" s="9" t="n"/>
      <c r="J24" s="9" t="n"/>
      <c r="K24" s="9" t="n"/>
    </row>
    <row r="25">
      <c r="A25" s="9" t="n"/>
      <c r="B25" s="9" t="n"/>
      <c r="C25" s="9" t="n"/>
      <c r="D25" s="9" t="n"/>
      <c r="E25" s="9" t="n"/>
      <c r="F25" s="9" t="n"/>
      <c r="G25" s="9" t="n"/>
      <c r="H25" s="9" t="n"/>
      <c r="I25" s="9" t="n"/>
      <c r="J25" s="9" t="n"/>
      <c r="K25" s="9" t="n"/>
    </row>
    <row r="26">
      <c r="A26" s="9" t="n"/>
      <c r="B26" s="9" t="n"/>
      <c r="C26" s="9" t="n"/>
      <c r="D26" s="9" t="n"/>
      <c r="E26" s="9" t="n"/>
      <c r="F26" s="9" t="n"/>
      <c r="G26" s="9" t="n"/>
      <c r="H26" s="9" t="n"/>
      <c r="I26" s="9" t="n"/>
      <c r="J26" s="9" t="n"/>
      <c r="K26" s="9" t="n"/>
    </row>
    <row r="27">
      <c r="A27" s="9" t="n"/>
      <c r="B27" s="9" t="n"/>
      <c r="C27" s="9" t="n"/>
      <c r="D27" s="9" t="n"/>
      <c r="E27" s="9" t="n"/>
      <c r="F27" s="9" t="n"/>
      <c r="G27" s="9" t="n"/>
      <c r="H27" s="9" t="n"/>
      <c r="I27" s="9" t="n"/>
      <c r="J27" s="9" t="n"/>
      <c r="K27" s="9" t="n"/>
    </row>
    <row r="28">
      <c r="A28" s="9" t="n"/>
      <c r="B28" s="9" t="n"/>
      <c r="C28" s="9" t="n"/>
      <c r="D28" s="9" t="n"/>
      <c r="E28" s="9" t="n"/>
      <c r="F28" s="9" t="n"/>
      <c r="G28" s="9" t="n"/>
      <c r="H28" s="9" t="n"/>
      <c r="I28" s="9" t="n"/>
      <c r="J28" s="9" t="n"/>
      <c r="K28" s="9" t="n"/>
    </row>
    <row r="29">
      <c r="A29" s="9" t="n"/>
      <c r="B29" s="9" t="n"/>
      <c r="C29" s="9" t="n"/>
      <c r="D29" s="9" t="n"/>
      <c r="E29" s="9" t="n"/>
      <c r="F29" s="9" t="n"/>
      <c r="G29" s="9" t="n"/>
      <c r="H29" s="9" t="n"/>
      <c r="I29" s="9" t="n"/>
      <c r="J29" s="9" t="n"/>
      <c r="K29" s="9" t="n"/>
    </row>
    <row r="30">
      <c r="A30" s="9" t="n"/>
      <c r="B30" s="9" t="n"/>
      <c r="C30" s="9" t="n"/>
      <c r="D30" s="9" t="n"/>
      <c r="E30" s="9" t="n"/>
      <c r="F30" s="9" t="n"/>
      <c r="G30" s="9" t="n"/>
      <c r="H30" s="9" t="n"/>
      <c r="I30" s="9" t="n"/>
      <c r="J30" s="9" t="n"/>
      <c r="K30" s="9" t="n"/>
    </row>
    <row r="31">
      <c r="A31" s="9" t="n"/>
      <c r="B31" s="9" t="n"/>
      <c r="C31" s="9" t="n"/>
      <c r="D31" s="9" t="n"/>
      <c r="E31" s="9" t="n"/>
      <c r="F31" s="9" t="n"/>
      <c r="G31" s="9" t="n"/>
      <c r="H31" s="9" t="n"/>
      <c r="I31" s="9" t="n"/>
      <c r="J31" s="9" t="n"/>
      <c r="K31" s="9" t="n"/>
    </row>
    <row r="32">
      <c r="A32" s="9" t="n"/>
      <c r="B32" s="9" t="n"/>
      <c r="C32" s="9" t="n"/>
      <c r="D32" s="9" t="n"/>
      <c r="E32" s="9" t="n"/>
      <c r="F32" s="9" t="n"/>
      <c r="G32" s="9" t="n"/>
      <c r="H32" s="9" t="n"/>
      <c r="I32" s="9" t="n"/>
      <c r="J32" s="9" t="n"/>
      <c r="K32" s="9" t="n"/>
    </row>
    <row r="33">
      <c r="A33" s="9" t="n"/>
      <c r="B33" s="9" t="n"/>
      <c r="C33" s="9" t="n"/>
      <c r="D33" s="9" t="n"/>
      <c r="E33" s="9" t="n"/>
      <c r="F33" s="9" t="n"/>
      <c r="G33" s="9" t="n"/>
      <c r="H33" s="9" t="n"/>
      <c r="I33" s="9" t="n"/>
      <c r="J33" s="9" t="n"/>
      <c r="K33" s="9" t="n"/>
    </row>
    <row r="34">
      <c r="A34" s="9" t="n"/>
      <c r="B34" s="9" t="n"/>
      <c r="C34" s="9" t="n"/>
      <c r="D34" s="9" t="n"/>
      <c r="E34" s="9" t="n"/>
      <c r="F34" s="9" t="n"/>
      <c r="G34" s="9" t="n"/>
      <c r="H34" s="9" t="n"/>
      <c r="I34" s="9" t="n"/>
      <c r="J34" s="9" t="n"/>
      <c r="K34" s="9" t="n"/>
    </row>
    <row r="35">
      <c r="A35" s="9" t="n"/>
      <c r="B35" s="9" t="n"/>
      <c r="C35" s="9" t="n"/>
      <c r="D35" s="9" t="n"/>
      <c r="E35" s="9" t="n"/>
      <c r="F35" s="9" t="n"/>
      <c r="G35" s="9" t="n"/>
      <c r="H35" s="9" t="n"/>
      <c r="I35" s="9" t="n"/>
      <c r="J35" s="9" t="n"/>
      <c r="K35" s="9" t="n"/>
    </row>
    <row r="36">
      <c r="A36" s="9" t="n"/>
      <c r="B36" s="9" t="n"/>
      <c r="C36" s="9" t="n"/>
      <c r="D36" s="9" t="n"/>
      <c r="E36" s="9" t="n"/>
      <c r="F36" s="9" t="n"/>
      <c r="G36" s="9" t="n"/>
      <c r="H36" s="9" t="n"/>
      <c r="I36" s="9" t="n"/>
      <c r="J36" s="9" t="n"/>
      <c r="K36" s="9" t="n"/>
    </row>
  </sheetData>
  <autoFilter ref="A1:K36"/>
  <dataValidations count="2">
    <dataValidation sqref="F2 F3 F4 F5 F6 F7 F8 F9 F10 F11 F12 F13 F14 F15 F16 F17 F18 F19 F20 F21 F22 F23 F24 F25 F26 F27 F28 F29 F30 F31 F32 F33 F34 F35 F36" showDropDown="0" showInputMessage="0" showErrorMessage="0" allowBlank="1" type="list">
      <formula1>"High,Medium,Low"</formula1>
    </dataValidation>
    <dataValidation sqref="G2 G3 G4 G5 G6 G7 G8 G9 G10 G11 G12 G13 G14 G15 G16 G17 G18 G19 G20 G21 G22 G23 G24 G25 G26 G27 G28 G29 G30 G31 G32 G33 G34 G35 G36" showDropDown="0" showInputMessage="0" showErrorMessage="0" allowBlank="1" type="list">
      <formula1>"Open,In Progress,Closed,Not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F9"/>
  <sheetViews>
    <sheetView showGridLines="0" workbookViewId="0">
      <selection activeCell="A1" sqref="A1"/>
    </sheetView>
  </sheetViews>
  <sheetFormatPr baseColWidth="8" defaultRowHeight="15"/>
  <cols>
    <col width="4" customWidth="1" min="1" max="1"/>
    <col width="30" customWidth="1" min="2" max="2"/>
    <col width="15" customWidth="1" min="3" max="3"/>
    <col width="15" customWidth="1" min="4" max="4"/>
    <col width="15" customWidth="1" min="5" max="5"/>
    <col width="15" customWidth="1" min="6" max="6"/>
  </cols>
  <sheetData>
    <row r="2">
      <c r="B2" s="10" t="inlineStr">
        <is>
          <t>Audit Summary</t>
        </is>
      </c>
    </row>
    <row r="4">
      <c r="A4" s="8" t="inlineStr"/>
      <c r="B4" s="8" t="inlineStr">
        <is>
          <t>Status</t>
        </is>
      </c>
      <c r="C4" s="8" t="inlineStr">
        <is>
          <t>Count</t>
        </is>
      </c>
      <c r="D4" s="8" t="inlineStr">
        <is>
          <t>High Risk</t>
        </is>
      </c>
      <c r="E4" s="8" t="inlineStr">
        <is>
          <t>Medium Risk</t>
        </is>
      </c>
      <c r="F4" s="8" t="inlineStr">
        <is>
          <t>Low Risk</t>
        </is>
      </c>
    </row>
    <row r="5">
      <c r="A5" s="9" t="n"/>
      <c r="B5" s="9" t="inlineStr">
        <is>
          <t>Open</t>
        </is>
      </c>
      <c r="C5" s="9">
        <f>COUNTIF('Audit Checklist'!G:G,"Open")</f>
        <v/>
      </c>
      <c r="D5" s="9">
        <f>COUNTIFS('Audit Checklist'!G:G,"Open",'Audit Checklist'!F:F,"High")</f>
        <v/>
      </c>
      <c r="E5" s="9">
        <f>COUNTIFS('Audit Checklist'!G:G,"Open",'Audit Checklist'!F:F,"Medium")</f>
        <v/>
      </c>
      <c r="F5" s="9">
        <f>COUNTIFS('Audit Checklist'!G:G,"Open",'Audit Checklist'!F:F,"Low")</f>
        <v/>
      </c>
    </row>
    <row r="6">
      <c r="A6" s="9" t="n"/>
      <c r="B6" s="9" t="inlineStr">
        <is>
          <t>In Progress</t>
        </is>
      </c>
      <c r="C6" s="9">
        <f>COUNTIF('Audit Checklist'!G:G,"In Progress")</f>
        <v/>
      </c>
      <c r="D6" s="9">
        <f>COUNTIFS('Audit Checklist'!G:G,"In Progress",'Audit Checklist'!F:F,"High")</f>
        <v/>
      </c>
      <c r="E6" s="9">
        <f>COUNTIFS('Audit Checklist'!G:G,"In Progress",'Audit Checklist'!F:F,"Medium")</f>
        <v/>
      </c>
      <c r="F6" s="9">
        <f>COUNTIFS('Audit Checklist'!G:G,"In Progress",'Audit Checklist'!F:F,"Low")</f>
        <v/>
      </c>
    </row>
    <row r="7">
      <c r="A7" s="9" t="n"/>
      <c r="B7" s="9" t="inlineStr">
        <is>
          <t>Closed</t>
        </is>
      </c>
      <c r="C7" s="9">
        <f>COUNTIF('Audit Checklist'!G:G,"Closed")</f>
        <v/>
      </c>
      <c r="D7" s="9">
        <f>COUNTIFS('Audit Checklist'!G:G,"Closed",'Audit Checklist'!F:F,"High")</f>
        <v/>
      </c>
      <c r="E7" s="9">
        <f>COUNTIFS('Audit Checklist'!G:G,"Closed",'Audit Checklist'!F:F,"Medium")</f>
        <v/>
      </c>
      <c r="F7" s="9">
        <f>COUNTIFS('Audit Checklist'!G:G,"Closed",'Audit Checklist'!F:F,"Low")</f>
        <v/>
      </c>
    </row>
    <row r="8">
      <c r="A8" s="9" t="n"/>
      <c r="B8" s="9" t="inlineStr">
        <is>
          <t>Not Applicable</t>
        </is>
      </c>
      <c r="C8" s="9">
        <f>COUNTIF('Audit Checklist'!G:G,"Not Applicable")</f>
        <v/>
      </c>
      <c r="D8" s="9">
        <f>COUNTIFS('Audit Checklist'!G:G,"Not Applicable",'Audit Checklist'!F:F,"High")</f>
        <v/>
      </c>
      <c r="E8" s="9">
        <f>COUNTIFS('Audit Checklist'!G:G,"Not Applicable",'Audit Checklist'!F:F,"Medium")</f>
        <v/>
      </c>
      <c r="F8" s="9">
        <f>COUNTIFS('Audit Checklist'!G:G,"Not Applicable",'Audit Checklist'!F:F,"Low")</f>
        <v/>
      </c>
    </row>
    <row r="9">
      <c r="A9" s="11" t="n"/>
      <c r="B9" s="11" t="inlineStr">
        <is>
          <t>TOTAL</t>
        </is>
      </c>
      <c r="C9" s="11">
        <f>SUM(C5:C8)</f>
        <v/>
      </c>
      <c r="D9" s="11" t="n"/>
      <c r="E9" s="11" t="n"/>
      <c r="F9" s="1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2026-10-07T14:35:07Z</dcterms:created>
  <dcterms:modified xmlns:dcterms="http://purl.org/dc/terms/" xmlns:xsi="http://www.w3.org/2001/XMLSchema-instance" xsi:type="dcterms:W3CDTF">2026-10-07T14:35:15Z</dcterms:modified>
</cp:coreProperties>
</file>