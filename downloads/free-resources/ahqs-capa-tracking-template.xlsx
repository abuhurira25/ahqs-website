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CAPA Register" sheetId="2" state="visible" r:id="rId2"/>
    <sheet xmlns:r="http://schemas.openxmlformats.org/officeDocument/2006/relationships" name="Summary" sheetId="3" state="visible" r:id="rId3"/>
  </sheets>
  <definedNames>
    <definedName name="_xlnm._FilterDatabase" localSheetId="1" hidden="1">'CAPA Register'!$A$1:$N$29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071F3B"/>
      <sz val="20"/>
    </font>
    <font>
      <name val="Calibri"/>
      <i val="1"/>
      <color rgb="00087F83"/>
      <sz val="11"/>
    </font>
    <font>
      <name val="Calibri"/>
      <color rgb="00667789"/>
      <sz val="11"/>
    </font>
    <font>
      <name val="Calibri"/>
      <b val="1"/>
      <color rgb="00071F3B"/>
      <sz val="13"/>
    </font>
    <font>
      <name val="Calibri"/>
      <color rgb="00173047"/>
      <sz val="10"/>
    </font>
    <font>
      <name val="Calibri"/>
      <i val="1"/>
      <color rgb="00667789"/>
      <sz val="9"/>
    </font>
    <font>
      <name val="Calibri"/>
      <color rgb="00667789"/>
      <sz val="9"/>
    </font>
    <font>
      <name val="Calibri"/>
      <b val="1"/>
      <color rgb="00FFFFFF"/>
      <sz val="11"/>
    </font>
    <font>
      <name val="Calibri"/>
      <b val="1"/>
      <color rgb="00071F3B"/>
      <sz val="16"/>
    </font>
  </fonts>
  <fills count="3">
    <fill>
      <patternFill/>
    </fill>
    <fill>
      <patternFill patternType="gray125"/>
    </fill>
    <fill>
      <patternFill patternType="solid">
        <fgColor rgb="00087F83"/>
        <bgColor rgb="00087F83"/>
      </patternFill>
    </fill>
  </fills>
  <borders count="2">
    <border>
      <left/>
      <right/>
      <top/>
      <bottom/>
      <diagonal/>
    </border>
    <border>
      <left style="thin">
        <color rgb="00DCE6EB"/>
      </left>
      <right style="thin">
        <color rgb="00DCE6EB"/>
      </right>
      <top style="thin">
        <color rgb="00DCE6EB"/>
      </top>
      <bottom style="thin">
        <color rgb="00DCE6EB"/>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xf>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2" borderId="1" applyAlignment="1" pivotButton="0" quotePrefix="0" xfId="0">
      <alignment horizontal="center" vertical="center" wrapText="1"/>
    </xf>
    <xf numFmtId="0" fontId="5" fillId="0" borderId="1" applyAlignment="1" pivotButton="0" quotePrefix="0" xfId="0">
      <alignment vertical="center" wrapText="1"/>
    </xf>
    <xf numFmtId="0" fontId="9" fillId="0" borderId="0" pivotButton="0" quotePrefix="0" xfId="0"/>
  </cellXfs>
  <cellStyles count="1">
    <cellStyle name="Normal" xfId="0" builtinId="0" hidden="0"/>
  </cellStyles>
  <dxfs count="1">
    <dxf>
      <font>
        <b val="1"/>
        <color rgb="00FFFFFF"/>
      </font>
      <fill>
        <patternFill patternType="solid">
          <fgColor rgb="00FF6B6B"/>
          <bgColor rgb="00FF6B6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93345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8:B24"/>
  <sheetViews>
    <sheetView showGridLines="0" workbookViewId="0">
      <selection activeCell="A1" sqref="A1"/>
    </sheetView>
  </sheetViews>
  <sheetFormatPr baseColWidth="8" defaultRowHeight="15"/>
  <cols>
    <col width="4" customWidth="1" min="1" max="1"/>
    <col width="50" customWidth="1" min="2" max="2"/>
    <col width="4" customWidth="1" min="3" max="3"/>
  </cols>
  <sheetData>
    <row r="8">
      <c r="B8" s="1" t="inlineStr">
        <is>
          <t>CAPA Tracking Template</t>
        </is>
      </c>
    </row>
    <row r="9">
      <c r="B9" s="2" t="inlineStr">
        <is>
          <t>AHQS — Accelerate Healthcare Quality Solutions</t>
        </is>
      </c>
    </row>
    <row r="11" ht="60" customHeight="1">
      <c r="B11" s="3" t="inlineStr">
        <is>
          <t>Corrective and Preventive Action tracker with root cause analysis, effectiveness checks, and overdue auto-flagging.</t>
        </is>
      </c>
    </row>
    <row r="13">
      <c r="B13" s="4" t="inlineStr">
        <is>
          <t>How to Use This Tool</t>
        </is>
      </c>
    </row>
    <row r="14">
      <c r="B14" s="5" t="inlineStr">
        <is>
          <t>1. Enter your organization name and facility details in the header area of each sheet</t>
        </is>
      </c>
    </row>
    <row r="15">
      <c r="B15" s="5" t="inlineStr">
        <is>
          <t>2. Fill in the data columns — yellow-shaded cells contain formulas and should not be edited</t>
        </is>
      </c>
    </row>
    <row r="16">
      <c r="B16" s="5" t="inlineStr">
        <is>
          <t>3. Use the dropdown menus where provided for consistent data entry</t>
        </is>
      </c>
    </row>
    <row r="17">
      <c r="B17" s="5" t="inlineStr">
        <is>
          <t>4. Review the summary/dashboard sheet for auto-calculated metrics</t>
        </is>
      </c>
    </row>
    <row r="18">
      <c r="B18" s="5" t="inlineStr">
        <is>
          <t>5. Save a copy for each audit cycle or reporting period</t>
        </is>
      </c>
    </row>
    <row r="19">
      <c r="B19" s="5" t="inlineStr">
        <is>
          <t>6. This tool is free to use and customize for your organization's internal quality improvement</t>
        </is>
      </c>
    </row>
    <row r="21">
      <c r="B21" s="4" t="inlineStr">
        <is>
          <t>Disclaimer</t>
        </is>
      </c>
    </row>
    <row r="22" ht="60" customHeight="1">
      <c r="B22" s="6" t="inlineStr">
        <is>
          <t>This is an AHQS-created quality improvement tool — not an official CAP, ISO 15189, JCI or AABB standards document. Always purchase official standards directly from the accrediting bodies. This template is provided free of charge for internal quality improvement use. © 2026 Accelerate Healthcare Quality Solutions (AHQS). Not for resale.</t>
        </is>
      </c>
    </row>
    <row r="24">
      <c r="B24" s="7" t="inlineStr">
        <is>
          <t>Tool ID: AHQS-CAPA-001 | Version: 1.0 | Created: October 2026</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9"/>
  <sheetViews>
    <sheetView showGridLines="0" workbookViewId="0">
      <pane ySplit="1" topLeftCell="A2" activePane="bottomLeft" state="frozen"/>
      <selection pane="bottomLeft" activeCell="A1" sqref="A1"/>
    </sheetView>
  </sheetViews>
  <sheetFormatPr baseColWidth="8" defaultRowHeight="15"/>
  <cols>
    <col width="5" customWidth="1" min="1" max="1"/>
    <col width="12" customWidth="1" min="2" max="2"/>
    <col width="14" customWidth="1" min="3" max="3"/>
    <col width="18" customWidth="1" min="4" max="4"/>
    <col width="35" customWidth="1" min="5" max="5"/>
    <col width="30" customWidth="1" min="6" max="6"/>
    <col width="30" customWidth="1" min="7" max="7"/>
    <col width="30" customWidth="1" min="8" max="8"/>
    <col width="15" customWidth="1" min="9" max="9"/>
    <col width="14" customWidth="1" min="10" max="10"/>
    <col width="14" customWidth="1" min="11" max="11"/>
    <col width="14" customWidth="1" min="12" max="12"/>
    <col width="25" customWidth="1" min="13" max="13"/>
    <col width="12" customWidth="1" min="14" max="14"/>
  </cols>
  <sheetData>
    <row r="1" ht="32" customHeight="1">
      <c r="A1" s="8" t="inlineStr">
        <is>
          <t>#</t>
        </is>
      </c>
      <c r="B1" s="8" t="inlineStr">
        <is>
          <t>CAPA ID</t>
        </is>
      </c>
      <c r="C1" s="8" t="inlineStr">
        <is>
          <t>Date Identified</t>
        </is>
      </c>
      <c r="D1" s="8" t="inlineStr">
        <is>
          <t>Source</t>
        </is>
      </c>
      <c r="E1" s="8" t="inlineStr">
        <is>
          <t>Issue Description</t>
        </is>
      </c>
      <c r="F1" s="8" t="inlineStr">
        <is>
          <t>Root Cause</t>
        </is>
      </c>
      <c r="G1" s="8" t="inlineStr">
        <is>
          <t>Corrective Action</t>
        </is>
      </c>
      <c r="H1" s="8" t="inlineStr">
        <is>
          <t>Preventive Action</t>
        </is>
      </c>
      <c r="I1" s="8" t="inlineStr">
        <is>
          <t>Owner</t>
        </is>
      </c>
      <c r="J1" s="8" t="inlineStr">
        <is>
          <t>Due Date</t>
        </is>
      </c>
      <c r="K1" s="8" t="inlineStr">
        <is>
          <t>Status</t>
        </is>
      </c>
      <c r="L1" s="8" t="inlineStr">
        <is>
          <t>Date Closed</t>
        </is>
      </c>
      <c r="M1" s="8" t="inlineStr">
        <is>
          <t>Effectiveness Check</t>
        </is>
      </c>
      <c r="N1" s="8" t="inlineStr">
        <is>
          <t>Days Overdue</t>
        </is>
      </c>
    </row>
    <row r="2">
      <c r="A2" s="9" t="n">
        <v>1</v>
      </c>
      <c r="B2" s="9" t="inlineStr">
        <is>
          <t>CAPA-001</t>
        </is>
      </c>
      <c r="C2" s="9" t="inlineStr">
        <is>
          <t>2026-01-10</t>
        </is>
      </c>
      <c r="D2" s="9" t="inlineStr">
        <is>
          <t>Audit Finding</t>
        </is>
      </c>
      <c r="E2" s="9" t="inlineStr">
        <is>
          <t>QC records not reviewed by supervisor within 24 hours</t>
        </is>
      </c>
      <c r="F2" s="9" t="inlineStr">
        <is>
          <t>Supervisor workload exceeded capacity during peak hours</t>
        </is>
      </c>
      <c r="G2" s="9" t="inlineStr">
        <is>
          <t>Reassigned QC review to alternate supervisor during peak</t>
        </is>
      </c>
      <c r="H2" s="9" t="inlineStr">
        <is>
          <t>Implemented automated QC alert system</t>
        </is>
      </c>
      <c r="I2" s="9" t="inlineStr">
        <is>
          <t>Lab Manager</t>
        </is>
      </c>
      <c r="J2" s="9" t="inlineStr">
        <is>
          <t>2026-02-15</t>
        </is>
      </c>
      <c r="K2" s="9" t="inlineStr">
        <is>
          <t>Closed</t>
        </is>
      </c>
      <c r="L2" s="9" t="inlineStr">
        <is>
          <t>2026-02-10</t>
        </is>
      </c>
      <c r="M2" s="9" t="inlineStr">
        <is>
          <t>Effective - no recurrence in 3 months</t>
        </is>
      </c>
      <c r="N2" s="9">
        <f>IF(AND(K2&lt;&gt;"Closed",K2&lt;&gt;"Cancelled",J2&lt;&gt;"",TODAY()&gt;DATEVALUE(J2)),TODAY()-DATEVALUE(J2),0)</f>
        <v/>
      </c>
    </row>
    <row r="3">
      <c r="A3" s="9" t="n">
        <v>2</v>
      </c>
      <c r="B3" s="9" t="inlineStr">
        <is>
          <t>CAPA-002</t>
        </is>
      </c>
      <c r="C3" s="9" t="inlineStr">
        <is>
          <t>2026-01-20</t>
        </is>
      </c>
      <c r="D3" s="9" t="inlineStr">
        <is>
          <t>Incident</t>
        </is>
      </c>
      <c r="E3" s="9" t="inlineStr">
        <is>
          <t>Expired reagent used in patient testing</t>
        </is>
      </c>
      <c r="F3" s="9" t="inlineStr">
        <is>
          <t>Reagent inventory not checked before use</t>
        </is>
      </c>
      <c r="G3" s="9" t="inlineStr">
        <is>
          <t>Discarded expired reagents, retested affected samples</t>
        </is>
      </c>
      <c r="H3" s="9" t="inlineStr">
        <is>
          <t>Implemented barcode scanning for reagent verification</t>
        </is>
      </c>
      <c r="I3" s="9" t="inlineStr">
        <is>
          <t>Quality Officer</t>
        </is>
      </c>
      <c r="J3" s="9" t="inlineStr">
        <is>
          <t>2026-02-28</t>
        </is>
      </c>
      <c r="K3" s="9" t="inlineStr">
        <is>
          <t>In Progress</t>
        </is>
      </c>
      <c r="L3" s="9" t="inlineStr"/>
      <c r="M3" s="9" t="inlineStr"/>
      <c r="N3" s="9">
        <f>IF(AND(K3&lt;&gt;"Closed",K3&lt;&gt;"Cancelled",J3&lt;&gt;"",TODAY()&gt;DATEVALUE(J3)),TODAY()-DATEVALUE(J3),0)</f>
        <v/>
      </c>
    </row>
    <row r="4">
      <c r="A4" s="9" t="n">
        <v>3</v>
      </c>
      <c r="B4" s="9" t="inlineStr">
        <is>
          <t>CAPA-003</t>
        </is>
      </c>
      <c r="C4" s="9" t="inlineStr">
        <is>
          <t>2026-02-05</t>
        </is>
      </c>
      <c r="D4" s="9" t="inlineStr">
        <is>
          <t>External Assessment</t>
        </is>
      </c>
      <c r="E4" s="9" t="inlineStr">
        <is>
          <t>Competency assessment not documented for 2 staff members</t>
        </is>
      </c>
      <c r="F4" s="9" t="inlineStr">
        <is>
          <t>Competency records stored in different locations</t>
        </is>
      </c>
      <c r="G4" s="9" t="inlineStr">
        <is>
          <t>Consolidated all competency records into central file</t>
        </is>
      </c>
      <c r="H4" s="9" t="inlineStr">
        <is>
          <t>Implemented quarterly competency review schedule</t>
        </is>
      </c>
      <c r="I4" s="9" t="inlineStr">
        <is>
          <t>HR Manager</t>
        </is>
      </c>
      <c r="J4" s="9" t="inlineStr">
        <is>
          <t>2026-03-15</t>
        </is>
      </c>
      <c r="K4" s="9" t="inlineStr">
        <is>
          <t>Open</t>
        </is>
      </c>
      <c r="L4" s="9" t="inlineStr"/>
      <c r="M4" s="9" t="inlineStr"/>
      <c r="N4" s="9">
        <f>IF(AND(K4&lt;&gt;"Closed",K4&lt;&gt;"Cancelled",J4&lt;&gt;"",TODAY()&gt;DATEVALUE(J4)),TODAY()-DATEVALUE(J4),0)</f>
        <v/>
      </c>
    </row>
    <row r="5">
      <c r="A5" s="9" t="n">
        <v>4</v>
      </c>
      <c r="B5" s="9" t="n"/>
      <c r="C5" s="9" t="n"/>
      <c r="D5" s="9" t="n"/>
      <c r="E5" s="9" t="n"/>
      <c r="F5" s="9" t="n"/>
      <c r="G5" s="9" t="n"/>
      <c r="H5" s="9" t="n"/>
      <c r="I5" s="9" t="n"/>
      <c r="J5" s="9" t="n"/>
      <c r="K5" s="9" t="n"/>
      <c r="L5" s="9" t="n"/>
      <c r="M5" s="9" t="n"/>
      <c r="N5" s="9">
        <f>IF(AND(K5&lt;&gt;"Closed",K5&lt;&gt;"Cancelled",J5&lt;&gt;"",TODAY()&gt;DATEVALUE(J5)),TODAY()-DATEVALUE(J5),0)</f>
        <v/>
      </c>
    </row>
    <row r="6">
      <c r="A6" s="9" t="n">
        <v>5</v>
      </c>
      <c r="B6" s="9" t="n"/>
      <c r="C6" s="9" t="n"/>
      <c r="D6" s="9" t="n"/>
      <c r="E6" s="9" t="n"/>
      <c r="F6" s="9" t="n"/>
      <c r="G6" s="9" t="n"/>
      <c r="H6" s="9" t="n"/>
      <c r="I6" s="9" t="n"/>
      <c r="J6" s="9" t="n"/>
      <c r="K6" s="9" t="n"/>
      <c r="L6" s="9" t="n"/>
      <c r="M6" s="9" t="n"/>
      <c r="N6" s="9">
        <f>IF(AND(K6&lt;&gt;"Closed",K6&lt;&gt;"Cancelled",J6&lt;&gt;"",TODAY()&gt;DATEVALUE(J6)),TODAY()-DATEVALUE(J6),0)</f>
        <v/>
      </c>
    </row>
    <row r="7">
      <c r="A7" s="9" t="n">
        <v>6</v>
      </c>
      <c r="B7" s="9" t="n"/>
      <c r="C7" s="9" t="n"/>
      <c r="D7" s="9" t="n"/>
      <c r="E7" s="9" t="n"/>
      <c r="F7" s="9" t="n"/>
      <c r="G7" s="9" t="n"/>
      <c r="H7" s="9" t="n"/>
      <c r="I7" s="9" t="n"/>
      <c r="J7" s="9" t="n"/>
      <c r="K7" s="9" t="n"/>
      <c r="L7" s="9" t="n"/>
      <c r="M7" s="9" t="n"/>
      <c r="N7" s="9">
        <f>IF(AND(K7&lt;&gt;"Closed",K7&lt;&gt;"Cancelled",J7&lt;&gt;"",TODAY()&gt;DATEVALUE(J7)),TODAY()-DATEVALUE(J7),0)</f>
        <v/>
      </c>
    </row>
    <row r="8">
      <c r="A8" s="9" t="n">
        <v>7</v>
      </c>
      <c r="B8" s="9" t="n"/>
      <c r="C8" s="9" t="n"/>
      <c r="D8" s="9" t="n"/>
      <c r="E8" s="9" t="n"/>
      <c r="F8" s="9" t="n"/>
      <c r="G8" s="9" t="n"/>
      <c r="H8" s="9" t="n"/>
      <c r="I8" s="9" t="n"/>
      <c r="J8" s="9" t="n"/>
      <c r="K8" s="9" t="n"/>
      <c r="L8" s="9" t="n"/>
      <c r="M8" s="9" t="n"/>
      <c r="N8" s="9">
        <f>IF(AND(K8&lt;&gt;"Closed",K8&lt;&gt;"Cancelled",J8&lt;&gt;"",TODAY()&gt;DATEVALUE(J8)),TODAY()-DATEVALUE(J8),0)</f>
        <v/>
      </c>
    </row>
    <row r="9">
      <c r="A9" s="9" t="n">
        <v>8</v>
      </c>
      <c r="B9" s="9" t="n"/>
      <c r="C9" s="9" t="n"/>
      <c r="D9" s="9" t="n"/>
      <c r="E9" s="9" t="n"/>
      <c r="F9" s="9" t="n"/>
      <c r="G9" s="9" t="n"/>
      <c r="H9" s="9" t="n"/>
      <c r="I9" s="9" t="n"/>
      <c r="J9" s="9" t="n"/>
      <c r="K9" s="9" t="n"/>
      <c r="L9" s="9" t="n"/>
      <c r="M9" s="9" t="n"/>
      <c r="N9" s="9">
        <f>IF(AND(K9&lt;&gt;"Closed",K9&lt;&gt;"Cancelled",J9&lt;&gt;"",TODAY()&gt;DATEVALUE(J9)),TODAY()-DATEVALUE(J9),0)</f>
        <v/>
      </c>
    </row>
    <row r="10">
      <c r="A10" s="9" t="n">
        <v>9</v>
      </c>
      <c r="B10" s="9" t="n"/>
      <c r="C10" s="9" t="n"/>
      <c r="D10" s="9" t="n"/>
      <c r="E10" s="9" t="n"/>
      <c r="F10" s="9" t="n"/>
      <c r="G10" s="9" t="n"/>
      <c r="H10" s="9" t="n"/>
      <c r="I10" s="9" t="n"/>
      <c r="J10" s="9" t="n"/>
      <c r="K10" s="9" t="n"/>
      <c r="L10" s="9" t="n"/>
      <c r="M10" s="9" t="n"/>
      <c r="N10" s="9">
        <f>IF(AND(K10&lt;&gt;"Closed",K10&lt;&gt;"Cancelled",J10&lt;&gt;"",TODAY()&gt;DATEVALUE(J10)),TODAY()-DATEVALUE(J10),0)</f>
        <v/>
      </c>
    </row>
    <row r="11">
      <c r="A11" s="9" t="n">
        <v>10</v>
      </c>
      <c r="B11" s="9" t="n"/>
      <c r="C11" s="9" t="n"/>
      <c r="D11" s="9" t="n"/>
      <c r="E11" s="9" t="n"/>
      <c r="F11" s="9" t="n"/>
      <c r="G11" s="9" t="n"/>
      <c r="H11" s="9" t="n"/>
      <c r="I11" s="9" t="n"/>
      <c r="J11" s="9" t="n"/>
      <c r="K11" s="9" t="n"/>
      <c r="L11" s="9" t="n"/>
      <c r="M11" s="9" t="n"/>
      <c r="N11" s="9">
        <f>IF(AND(K11&lt;&gt;"Closed",K11&lt;&gt;"Cancelled",J11&lt;&gt;"",TODAY()&gt;DATEVALUE(J11)),TODAY()-DATEVALUE(J11),0)</f>
        <v/>
      </c>
    </row>
    <row r="12">
      <c r="A12" s="9" t="n">
        <v>11</v>
      </c>
      <c r="B12" s="9" t="n"/>
      <c r="C12" s="9" t="n"/>
      <c r="D12" s="9" t="n"/>
      <c r="E12" s="9" t="n"/>
      <c r="F12" s="9" t="n"/>
      <c r="G12" s="9" t="n"/>
      <c r="H12" s="9" t="n"/>
      <c r="I12" s="9" t="n"/>
      <c r="J12" s="9" t="n"/>
      <c r="K12" s="9" t="n"/>
      <c r="L12" s="9" t="n"/>
      <c r="M12" s="9" t="n"/>
      <c r="N12" s="9">
        <f>IF(AND(K12&lt;&gt;"Closed",K12&lt;&gt;"Cancelled",J12&lt;&gt;"",TODAY()&gt;DATEVALUE(J12)),TODAY()-DATEVALUE(J12),0)</f>
        <v/>
      </c>
    </row>
    <row r="13">
      <c r="A13" s="9" t="n">
        <v>12</v>
      </c>
      <c r="B13" s="9" t="n"/>
      <c r="C13" s="9" t="n"/>
      <c r="D13" s="9" t="n"/>
      <c r="E13" s="9" t="n"/>
      <c r="F13" s="9" t="n"/>
      <c r="G13" s="9" t="n"/>
      <c r="H13" s="9" t="n"/>
      <c r="I13" s="9" t="n"/>
      <c r="J13" s="9" t="n"/>
      <c r="K13" s="9" t="n"/>
      <c r="L13" s="9" t="n"/>
      <c r="M13" s="9" t="n"/>
      <c r="N13" s="9">
        <f>IF(AND(K13&lt;&gt;"Closed",K13&lt;&gt;"Cancelled",J13&lt;&gt;"",TODAY()&gt;DATEVALUE(J13)),TODAY()-DATEVALUE(J13),0)</f>
        <v/>
      </c>
    </row>
    <row r="14">
      <c r="A14" s="9" t="n">
        <v>13</v>
      </c>
      <c r="B14" s="9" t="n"/>
      <c r="C14" s="9" t="n"/>
      <c r="D14" s="9" t="n"/>
      <c r="E14" s="9" t="n"/>
      <c r="F14" s="9" t="n"/>
      <c r="G14" s="9" t="n"/>
      <c r="H14" s="9" t="n"/>
      <c r="I14" s="9" t="n"/>
      <c r="J14" s="9" t="n"/>
      <c r="K14" s="9" t="n"/>
      <c r="L14" s="9" t="n"/>
      <c r="M14" s="9" t="n"/>
      <c r="N14" s="9">
        <f>IF(AND(K14&lt;&gt;"Closed",K14&lt;&gt;"Cancelled",J14&lt;&gt;"",TODAY()&gt;DATEVALUE(J14)),TODAY()-DATEVALUE(J14),0)</f>
        <v/>
      </c>
    </row>
    <row r="15">
      <c r="A15" s="9" t="n">
        <v>14</v>
      </c>
      <c r="B15" s="9" t="n"/>
      <c r="C15" s="9" t="n"/>
      <c r="D15" s="9" t="n"/>
      <c r="E15" s="9" t="n"/>
      <c r="F15" s="9" t="n"/>
      <c r="G15" s="9" t="n"/>
      <c r="H15" s="9" t="n"/>
      <c r="I15" s="9" t="n"/>
      <c r="J15" s="9" t="n"/>
      <c r="K15" s="9" t="n"/>
      <c r="L15" s="9" t="n"/>
      <c r="M15" s="9" t="n"/>
      <c r="N15" s="9">
        <f>IF(AND(K15&lt;&gt;"Closed",K15&lt;&gt;"Cancelled",J15&lt;&gt;"",TODAY()&gt;DATEVALUE(J15)),TODAY()-DATEVALUE(J15),0)</f>
        <v/>
      </c>
    </row>
    <row r="16">
      <c r="A16" s="9" t="n">
        <v>15</v>
      </c>
      <c r="B16" s="9" t="n"/>
      <c r="C16" s="9" t="n"/>
      <c r="D16" s="9" t="n"/>
      <c r="E16" s="9" t="n"/>
      <c r="F16" s="9" t="n"/>
      <c r="G16" s="9" t="n"/>
      <c r="H16" s="9" t="n"/>
      <c r="I16" s="9" t="n"/>
      <c r="J16" s="9" t="n"/>
      <c r="K16" s="9" t="n"/>
      <c r="L16" s="9" t="n"/>
      <c r="M16" s="9" t="n"/>
      <c r="N16" s="9">
        <f>IF(AND(K16&lt;&gt;"Closed",K16&lt;&gt;"Cancelled",J16&lt;&gt;"",TODAY()&gt;DATEVALUE(J16)),TODAY()-DATEVALUE(J16),0)</f>
        <v/>
      </c>
    </row>
    <row r="17">
      <c r="A17" s="9" t="n">
        <v>16</v>
      </c>
      <c r="B17" s="9" t="n"/>
      <c r="C17" s="9" t="n"/>
      <c r="D17" s="9" t="n"/>
      <c r="E17" s="9" t="n"/>
      <c r="F17" s="9" t="n"/>
      <c r="G17" s="9" t="n"/>
      <c r="H17" s="9" t="n"/>
      <c r="I17" s="9" t="n"/>
      <c r="J17" s="9" t="n"/>
      <c r="K17" s="9" t="n"/>
      <c r="L17" s="9" t="n"/>
      <c r="M17" s="9" t="n"/>
      <c r="N17" s="9">
        <f>IF(AND(K17&lt;&gt;"Closed",K17&lt;&gt;"Cancelled",J17&lt;&gt;"",TODAY()&gt;DATEVALUE(J17)),TODAY()-DATEVALUE(J17),0)</f>
        <v/>
      </c>
    </row>
    <row r="18">
      <c r="A18" s="9" t="n">
        <v>17</v>
      </c>
      <c r="B18" s="9" t="n"/>
      <c r="C18" s="9" t="n"/>
      <c r="D18" s="9" t="n"/>
      <c r="E18" s="9" t="n"/>
      <c r="F18" s="9" t="n"/>
      <c r="G18" s="9" t="n"/>
      <c r="H18" s="9" t="n"/>
      <c r="I18" s="9" t="n"/>
      <c r="J18" s="9" t="n"/>
      <c r="K18" s="9" t="n"/>
      <c r="L18" s="9" t="n"/>
      <c r="M18" s="9" t="n"/>
      <c r="N18" s="9">
        <f>IF(AND(K18&lt;&gt;"Closed",K18&lt;&gt;"Cancelled",J18&lt;&gt;"",TODAY()&gt;DATEVALUE(J18)),TODAY()-DATEVALUE(J18),0)</f>
        <v/>
      </c>
    </row>
    <row r="19">
      <c r="A19" s="9" t="n">
        <v>18</v>
      </c>
      <c r="B19" s="9" t="n"/>
      <c r="C19" s="9" t="n"/>
      <c r="D19" s="9" t="n"/>
      <c r="E19" s="9" t="n"/>
      <c r="F19" s="9" t="n"/>
      <c r="G19" s="9" t="n"/>
      <c r="H19" s="9" t="n"/>
      <c r="I19" s="9" t="n"/>
      <c r="J19" s="9" t="n"/>
      <c r="K19" s="9" t="n"/>
      <c r="L19" s="9" t="n"/>
      <c r="M19" s="9" t="n"/>
      <c r="N19" s="9">
        <f>IF(AND(K19&lt;&gt;"Closed",K19&lt;&gt;"Cancelled",J19&lt;&gt;"",TODAY()&gt;DATEVALUE(J19)),TODAY()-DATEVALUE(J19),0)</f>
        <v/>
      </c>
    </row>
    <row r="20">
      <c r="A20" s="9" t="n">
        <v>19</v>
      </c>
      <c r="B20" s="9" t="n"/>
      <c r="C20" s="9" t="n"/>
      <c r="D20" s="9" t="n"/>
      <c r="E20" s="9" t="n"/>
      <c r="F20" s="9" t="n"/>
      <c r="G20" s="9" t="n"/>
      <c r="H20" s="9" t="n"/>
      <c r="I20" s="9" t="n"/>
      <c r="J20" s="9" t="n"/>
      <c r="K20" s="9" t="n"/>
      <c r="L20" s="9" t="n"/>
      <c r="M20" s="9" t="n"/>
      <c r="N20" s="9">
        <f>IF(AND(K20&lt;&gt;"Closed",K20&lt;&gt;"Cancelled",J20&lt;&gt;"",TODAY()&gt;DATEVALUE(J20)),TODAY()-DATEVALUE(J20),0)</f>
        <v/>
      </c>
    </row>
    <row r="21">
      <c r="A21" s="9" t="n">
        <v>20</v>
      </c>
      <c r="B21" s="9" t="n"/>
      <c r="C21" s="9" t="n"/>
      <c r="D21" s="9" t="n"/>
      <c r="E21" s="9" t="n"/>
      <c r="F21" s="9" t="n"/>
      <c r="G21" s="9" t="n"/>
      <c r="H21" s="9" t="n"/>
      <c r="I21" s="9" t="n"/>
      <c r="J21" s="9" t="n"/>
      <c r="K21" s="9" t="n"/>
      <c r="L21" s="9" t="n"/>
      <c r="M21" s="9" t="n"/>
      <c r="N21" s="9">
        <f>IF(AND(K21&lt;&gt;"Closed",K21&lt;&gt;"Cancelled",J21&lt;&gt;"",TODAY()&gt;DATEVALUE(J21)),TODAY()-DATEVALUE(J21),0)</f>
        <v/>
      </c>
    </row>
    <row r="22">
      <c r="A22" s="9" t="n">
        <v>21</v>
      </c>
      <c r="B22" s="9" t="n"/>
      <c r="C22" s="9" t="n"/>
      <c r="D22" s="9" t="n"/>
      <c r="E22" s="9" t="n"/>
      <c r="F22" s="9" t="n"/>
      <c r="G22" s="9" t="n"/>
      <c r="H22" s="9" t="n"/>
      <c r="I22" s="9" t="n"/>
      <c r="J22" s="9" t="n"/>
      <c r="K22" s="9" t="n"/>
      <c r="L22" s="9" t="n"/>
      <c r="M22" s="9" t="n"/>
      <c r="N22" s="9">
        <f>IF(AND(K22&lt;&gt;"Closed",K22&lt;&gt;"Cancelled",J22&lt;&gt;"",TODAY()&gt;DATEVALUE(J22)),TODAY()-DATEVALUE(J22),0)</f>
        <v/>
      </c>
    </row>
    <row r="23">
      <c r="A23" s="9" t="n">
        <v>22</v>
      </c>
      <c r="B23" s="9" t="n"/>
      <c r="C23" s="9" t="n"/>
      <c r="D23" s="9" t="n"/>
      <c r="E23" s="9" t="n"/>
      <c r="F23" s="9" t="n"/>
      <c r="G23" s="9" t="n"/>
      <c r="H23" s="9" t="n"/>
      <c r="I23" s="9" t="n"/>
      <c r="J23" s="9" t="n"/>
      <c r="K23" s="9" t="n"/>
      <c r="L23" s="9" t="n"/>
      <c r="M23" s="9" t="n"/>
      <c r="N23" s="9">
        <f>IF(AND(K23&lt;&gt;"Closed",K23&lt;&gt;"Cancelled",J23&lt;&gt;"",TODAY()&gt;DATEVALUE(J23)),TODAY()-DATEVALUE(J23),0)</f>
        <v/>
      </c>
    </row>
    <row r="24">
      <c r="A24" s="9" t="n">
        <v>23</v>
      </c>
      <c r="B24" s="9" t="n"/>
      <c r="C24" s="9" t="n"/>
      <c r="D24" s="9" t="n"/>
      <c r="E24" s="9" t="n"/>
      <c r="F24" s="9" t="n"/>
      <c r="G24" s="9" t="n"/>
      <c r="H24" s="9" t="n"/>
      <c r="I24" s="9" t="n"/>
      <c r="J24" s="9" t="n"/>
      <c r="K24" s="9" t="n"/>
      <c r="L24" s="9" t="n"/>
      <c r="M24" s="9" t="n"/>
      <c r="N24" s="9">
        <f>IF(AND(K24&lt;&gt;"Closed",K24&lt;&gt;"Cancelled",J24&lt;&gt;"",TODAY()&gt;DATEVALUE(J24)),TODAY()-DATEVALUE(J24),0)</f>
        <v/>
      </c>
    </row>
    <row r="25">
      <c r="A25" s="9" t="n">
        <v>24</v>
      </c>
      <c r="B25" s="9" t="n"/>
      <c r="C25" s="9" t="n"/>
      <c r="D25" s="9" t="n"/>
      <c r="E25" s="9" t="n"/>
      <c r="F25" s="9" t="n"/>
      <c r="G25" s="9" t="n"/>
      <c r="H25" s="9" t="n"/>
      <c r="I25" s="9" t="n"/>
      <c r="J25" s="9" t="n"/>
      <c r="K25" s="9" t="n"/>
      <c r="L25" s="9" t="n"/>
      <c r="M25" s="9" t="n"/>
      <c r="N25" s="9">
        <f>IF(AND(K25&lt;&gt;"Closed",K25&lt;&gt;"Cancelled",J25&lt;&gt;"",TODAY()&gt;DATEVALUE(J25)),TODAY()-DATEVALUE(J25),0)</f>
        <v/>
      </c>
    </row>
    <row r="26">
      <c r="A26" s="9" t="n">
        <v>25</v>
      </c>
      <c r="B26" s="9" t="n"/>
      <c r="C26" s="9" t="n"/>
      <c r="D26" s="9" t="n"/>
      <c r="E26" s="9" t="n"/>
      <c r="F26" s="9" t="n"/>
      <c r="G26" s="9" t="n"/>
      <c r="H26" s="9" t="n"/>
      <c r="I26" s="9" t="n"/>
      <c r="J26" s="9" t="n"/>
      <c r="K26" s="9" t="n"/>
      <c r="L26" s="9" t="n"/>
      <c r="M26" s="9" t="n"/>
      <c r="N26" s="9">
        <f>IF(AND(K26&lt;&gt;"Closed",K26&lt;&gt;"Cancelled",J26&lt;&gt;"",TODAY()&gt;DATEVALUE(J26)),TODAY()-DATEVALUE(J26),0)</f>
        <v/>
      </c>
    </row>
    <row r="27">
      <c r="A27" s="9" t="n">
        <v>26</v>
      </c>
      <c r="B27" s="9" t="n"/>
      <c r="C27" s="9" t="n"/>
      <c r="D27" s="9" t="n"/>
      <c r="E27" s="9" t="n"/>
      <c r="F27" s="9" t="n"/>
      <c r="G27" s="9" t="n"/>
      <c r="H27" s="9" t="n"/>
      <c r="I27" s="9" t="n"/>
      <c r="J27" s="9" t="n"/>
      <c r="K27" s="9" t="n"/>
      <c r="L27" s="9" t="n"/>
      <c r="M27" s="9" t="n"/>
      <c r="N27" s="9">
        <f>IF(AND(K27&lt;&gt;"Closed",K27&lt;&gt;"Cancelled",J27&lt;&gt;"",TODAY()&gt;DATEVALUE(J27)),TODAY()-DATEVALUE(J27),0)</f>
        <v/>
      </c>
    </row>
    <row r="28">
      <c r="A28" s="9" t="n">
        <v>27</v>
      </c>
      <c r="B28" s="9" t="n"/>
      <c r="C28" s="9" t="n"/>
      <c r="D28" s="9" t="n"/>
      <c r="E28" s="9" t="n"/>
      <c r="F28" s="9" t="n"/>
      <c r="G28" s="9" t="n"/>
      <c r="H28" s="9" t="n"/>
      <c r="I28" s="9" t="n"/>
      <c r="J28" s="9" t="n"/>
      <c r="K28" s="9" t="n"/>
      <c r="L28" s="9" t="n"/>
      <c r="M28" s="9" t="n"/>
      <c r="N28" s="9">
        <f>IF(AND(K28&lt;&gt;"Closed",K28&lt;&gt;"Cancelled",J28&lt;&gt;"",TODAY()&gt;DATEVALUE(J28)),TODAY()-DATEVALUE(J28),0)</f>
        <v/>
      </c>
    </row>
    <row r="29">
      <c r="A29" s="9" t="n">
        <v>28</v>
      </c>
      <c r="B29" s="9" t="n"/>
      <c r="C29" s="9" t="n"/>
      <c r="D29" s="9" t="n"/>
      <c r="E29" s="9" t="n"/>
      <c r="F29" s="9" t="n"/>
      <c r="G29" s="9" t="n"/>
      <c r="H29" s="9" t="n"/>
      <c r="I29" s="9" t="n"/>
      <c r="J29" s="9" t="n"/>
      <c r="K29" s="9" t="n"/>
      <c r="L29" s="9" t="n"/>
      <c r="M29" s="9" t="n"/>
      <c r="N29" s="9">
        <f>IF(AND(K29&lt;&gt;"Closed",K29&lt;&gt;"Cancelled",J29&lt;&gt;"",TODAY()&gt;DATEVALUE(J29)),TODAY()-DATEVALUE(J29),0)</f>
        <v/>
      </c>
    </row>
  </sheetData>
  <autoFilter ref="A1:N29"/>
  <conditionalFormatting sqref="N2:N29">
    <cfRule type="cellIs" priority="1" operator="greaterThan" dxfId="0">
      <formula>0</formula>
    </cfRule>
  </conditionalFormatting>
  <dataValidations count="2">
    <dataValidation sqref="D2 D3 D4 D5 D6 D7 D8 D9 D10 D11 D12 D13 D14 D15 D16 D17 D18 D19 D20 D21 D22 D23 D24 D25 D26 D27 D28 D29" showDropDown="0" showInputMessage="0" showErrorMessage="0" allowBlank="1" type="list">
      <formula1>"Audit Finding,Incident,Complaint,External Assessment,Internal Review,QC Failure,Safety Event"</formula1>
    </dataValidation>
    <dataValidation sqref="K2 K3 K4 K5 K6 K7 K8 K9 K10 K11 K12 K13 K14 K15 K16 K17 K18 K19 K20 K21 K22 K23 K24 K25 K26 K27 K28 K29" showDropDown="0" showInputMessage="0" showErrorMessage="0" allowBlank="1" type="list">
      <formula1>"Open,In Progress,Closed,Overdue,Cancelled"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9"/>
  <sheetViews>
    <sheetView showGridLines="0" workbookViewId="0">
      <selection activeCell="A1" sqref="A1"/>
    </sheetView>
  </sheetViews>
  <sheetFormatPr baseColWidth="8" defaultRowHeight="15"/>
  <cols>
    <col width="20" customWidth="1" min="2" max="2"/>
    <col width="15" customWidth="1" min="3" max="3"/>
    <col width="15" customWidth="1" min="4" max="4"/>
  </cols>
  <sheetData>
    <row r="2">
      <c r="B2" s="10" t="inlineStr">
        <is>
          <t>CAPA Summary</t>
        </is>
      </c>
    </row>
    <row r="4">
      <c r="A4" s="8" t="inlineStr"/>
      <c r="B4" s="8" t="inlineStr">
        <is>
          <t>Status</t>
        </is>
      </c>
      <c r="C4" s="8" t="inlineStr">
        <is>
          <t>Count</t>
        </is>
      </c>
      <c r="D4" s="8" t="inlineStr">
        <is>
          <t>Overdue</t>
        </is>
      </c>
    </row>
    <row r="5">
      <c r="A5" s="9" t="n"/>
      <c r="B5" s="9" t="inlineStr">
        <is>
          <t>Open</t>
        </is>
      </c>
      <c r="C5" s="9">
        <f>COUNTIF('CAPA Register'!K:K,"Open")</f>
        <v/>
      </c>
      <c r="D5" s="9">
        <f>COUNTIFS('CAPA Register'!K:K,"Open",'CAPA Register'!N:N,"&gt;0")</f>
        <v/>
      </c>
    </row>
    <row r="6">
      <c r="A6" s="9" t="n"/>
      <c r="B6" s="9" t="inlineStr">
        <is>
          <t>In Progress</t>
        </is>
      </c>
      <c r="C6" s="9">
        <f>COUNTIF('CAPA Register'!K:K,"In Progress")</f>
        <v/>
      </c>
      <c r="D6" s="9">
        <f>COUNTIFS('CAPA Register'!K:K,"In Progress",'CAPA Register'!N:N,"&gt;0")</f>
        <v/>
      </c>
    </row>
    <row r="7">
      <c r="A7" s="9" t="n"/>
      <c r="B7" s="9" t="inlineStr">
        <is>
          <t>Closed</t>
        </is>
      </c>
      <c r="C7" s="9">
        <f>COUNTIF('CAPA Register'!K:K,"Closed")</f>
        <v/>
      </c>
      <c r="D7" s="9">
        <f>COUNTIFS('CAPA Register'!K:K,"Closed",'CAPA Register'!N:N,"&gt;0")</f>
        <v/>
      </c>
    </row>
    <row r="8">
      <c r="A8" s="9" t="n"/>
      <c r="B8" s="9" t="inlineStr">
        <is>
          <t>Overdue</t>
        </is>
      </c>
      <c r="C8" s="9">
        <f>COUNTIF('CAPA Register'!K:K,"Overdue")</f>
        <v/>
      </c>
      <c r="D8" s="9">
        <f>COUNTIFS('CAPA Register'!K:K,"Overdue",'CAPA Register'!N:N,"&gt;0")</f>
        <v/>
      </c>
    </row>
    <row r="9">
      <c r="A9" s="9" t="n"/>
      <c r="B9" s="9" t="inlineStr">
        <is>
          <t>Cancelled</t>
        </is>
      </c>
      <c r="C9" s="9">
        <f>COUNTIF('CAPA Register'!K:K,"Cancelled")</f>
        <v/>
      </c>
      <c r="D9" s="9">
        <f>COUNTIFS('CAPA Register'!K:K,"Cancelled",'CAPA Register'!N:N,"&gt;0")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2026-10-07T14:35:07Z</dcterms:created>
  <dcterms:modified xmlns:dcterms="http://purl.org/dc/terms/" xmlns:xsi="http://www.w3.org/2001/XMLSchema-instance" xsi:type="dcterms:W3CDTF">2026-10-07T14:35:15Z</dcterms:modified>
</cp:coreProperties>
</file>