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olors1.xml" ContentType="application/vnd.ms-office.chartcolorstyle+xml"/>
  <Override PartName="/xl/charts/style2.xml" ContentType="application/vnd.ms-office.chartstyle+xml"/>
  <Override PartName="/xl/charts/chart3.xml" ContentType="application/vnd.openxmlformats-officedocument.drawingml.chart+xml"/>
  <Override PartName="/xl/charts/chart2.xml" ContentType="application/vnd.openxmlformats-officedocument.drawingml.chart+xml"/>
  <Override PartName="/xl/charts/colors2.xml" ContentType="application/vnd.ms-office.chartcolorstyle+xml"/>
  <Override PartName="/xl/charts/style3.xml" ContentType="application/vnd.ms-office.chartstyle+xml"/>
  <Override PartName="/xl/charts/style1.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Settings" sheetId="2" state="hidden" r:id="rId4"/>
    <sheet name="CAPA Register" sheetId="3" state="visible" r:id="rId5"/>
    <sheet name="Dashboard" sheetId="4" state="visible" r:id="rId6"/>
  </sheets>
  <definedNames>
    <definedName function="false" hidden="true" localSheetId="2" name="_xlnm._FilterDatabase" vbProcedure="false">'CAPA Register'!$A$1:$Q$39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<sst xmlns="http://schemas.openxmlformats.org/spreadsheetml/2006/main" count="186" uniqueCount="134">
  <si>
    <t xml:space="preserve">CAPA Tracking Template</t>
  </si>
  <si>
    <t xml:space="preserve">AHQS — Accelerate Healthcare Quality Solutions</t>
  </si>
  <si>
    <t xml:space="preserve">A comprehensive corrective and preventive action tracker with root cause analysis, aging buckets, effectiveness verification, and a closure-rate dashboard.</t>
  </si>
  <si>
    <t xml:space="preserve">Key Features</t>
  </si>
  <si>
    <t xml:space="preserve">  •  Root cause analysis with 5-Why methodology</t>
  </si>
  <si>
    <t xml:space="preserve">  •  Aging buckets (0-30, 31-60, 61-90, 90+ days)</t>
  </si>
  <si>
    <t xml:space="preserve">  •  Auto-calculated overdue flags</t>
  </si>
  <si>
    <t xml:space="preserve">  •  Effectiveness verification tracking</t>
  </si>
  <si>
    <t xml:space="preserve">  •  Closure rate dashboard with charts</t>
  </si>
  <si>
    <t xml:space="preserve">  •  CAPA source breakdown (audit, incident, complaint)</t>
  </si>
  <si>
    <t xml:space="preserve">How to Use</t>
  </si>
  <si>
    <t xml:space="preserve">1.  Start with the Data Entry sheet — fill in yellow-shaded input cells only</t>
  </si>
  <si>
    <t xml:space="preserve">2.  Blue-shaded cells contain formulas — do not overwrite them</t>
  </si>
  <si>
    <t xml:space="preserve">3.  Use dropdown menus for standardized entries</t>
  </si>
  <si>
    <t xml:space="preserve">4.  Check the Dashboard sheet for auto-calculated metrics and charts</t>
  </si>
  <si>
    <t xml:space="preserve">5.  Save a copy for each audit cycle or reporting period</t>
  </si>
  <si>
    <t xml:space="preserve">6.  This tool is free to use for internal quality improvement</t>
  </si>
  <si>
    <t xml:space="preserve">Disclaimer &amp; License</t>
  </si>
  <si>
    <t xml:space="preserve">This is an AHQS-created quality improvement tool. It is not an official CAP, ISO 15189, JCI or AABB standards document, and does not reproduce official standards text. Always purchase official standards directly from the accrediting bodies. This template is provided free of charge for internal quality improvement use. © 2026 Accelerate Healthcare Quality Solutions (AHQS). Not for resale.</t>
  </si>
  <si>
    <t xml:space="preserve">Tool ID: AHQS-CAPA-002  |  Version: 2.0  |  Created: October 2026  |  AHQS Healthcare Quality Solutions</t>
  </si>
  <si>
    <t xml:space="preserve">Sources</t>
  </si>
  <si>
    <t xml:space="preserve">Status</t>
  </si>
  <si>
    <t xml:space="preserve">RCA_Method</t>
  </si>
  <si>
    <t xml:space="preserve">Effectiveness</t>
  </si>
  <si>
    <t xml:space="preserve">Audit Finding</t>
  </si>
  <si>
    <t xml:space="preserve">Open</t>
  </si>
  <si>
    <t xml:space="preserve">5 Whys</t>
  </si>
  <si>
    <t xml:space="preserve">Effective</t>
  </si>
  <si>
    <t xml:space="preserve">Incident</t>
  </si>
  <si>
    <t xml:space="preserve">In Progress</t>
  </si>
  <si>
    <t xml:space="preserve">Fishbone</t>
  </si>
  <si>
    <t xml:space="preserve">Partially Effective</t>
  </si>
  <si>
    <t xml:space="preserve">Complaint</t>
  </si>
  <si>
    <t xml:space="preserve">Closed</t>
  </si>
  <si>
    <t xml:space="preserve">FMEA</t>
  </si>
  <si>
    <t xml:space="preserve">Not Effective</t>
  </si>
  <si>
    <t xml:space="preserve">External Assessment</t>
  </si>
  <si>
    <t xml:space="preserve">Overdue</t>
  </si>
  <si>
    <t xml:space="preserve">Root Cause Analysis</t>
  </si>
  <si>
    <t xml:space="preserve">Monitoring</t>
  </si>
  <si>
    <t xml:space="preserve">Internal Review</t>
  </si>
  <si>
    <t xml:space="preserve">Cancelled</t>
  </si>
  <si>
    <t xml:space="preserve">Process Mapping</t>
  </si>
  <si>
    <t xml:space="preserve">Not Yet Assessed</t>
  </si>
  <si>
    <t xml:space="preserve">QC Failure</t>
  </si>
  <si>
    <t xml:space="preserve">Safety Event</t>
  </si>
  <si>
    <t xml:space="preserve">#</t>
  </si>
  <si>
    <t xml:space="preserve">CAPA ID</t>
  </si>
  <si>
    <t xml:space="preserve">Date Identified</t>
  </si>
  <si>
    <t xml:space="preserve">Source</t>
  </si>
  <si>
    <t xml:space="preserve">Issue Description</t>
  </si>
  <si>
    <t xml:space="preserve">Root Cause</t>
  </si>
  <si>
    <t xml:space="preserve">RCA Method</t>
  </si>
  <si>
    <t xml:space="preserve">Corrective Action</t>
  </si>
  <si>
    <t xml:space="preserve">Preventive Action</t>
  </si>
  <si>
    <t xml:space="preserve">Owner</t>
  </si>
  <si>
    <t xml:space="preserve">Due Date</t>
  </si>
  <si>
    <t xml:space="preserve">Date Closed</t>
  </si>
  <si>
    <t xml:space="preserve">Days Open</t>
  </si>
  <si>
    <t xml:space="preserve">Aging Bucket</t>
  </si>
  <si>
    <t xml:space="preserve">Review Date</t>
  </si>
  <si>
    <t xml:space="preserve">CAPA-001</t>
  </si>
  <si>
    <t xml:space="preserve">2026-01-10</t>
  </si>
  <si>
    <t xml:space="preserve">QC records not reviewed by supervisor within 24 hours</t>
  </si>
  <si>
    <t xml:space="preserve">Supervisor workload exceeded capacity during peak hours</t>
  </si>
  <si>
    <t xml:space="preserve">Reassign QC review to alternate supervisor during peak hours</t>
  </si>
  <si>
    <t xml:space="preserve">Implement automated QC alert system</t>
  </si>
  <si>
    <t xml:space="preserve">Lab Manager</t>
  </si>
  <si>
    <t xml:space="preserve">2026-02-15</t>
  </si>
  <si>
    <t xml:space="preserve">2026-02-10</t>
  </si>
  <si>
    <t xml:space="preserve">CAPA-002</t>
  </si>
  <si>
    <t xml:space="preserve">2026-01-20</t>
  </si>
  <si>
    <t xml:space="preserve">Expired reagent used in patient testing</t>
  </si>
  <si>
    <t xml:space="preserve">Reagent inventory not checked before use</t>
  </si>
  <si>
    <t xml:space="preserve">Discard expired reagents, retest affected samples</t>
  </si>
  <si>
    <t xml:space="preserve">Implement barcode scanning for reagent verification</t>
  </si>
  <si>
    <t xml:space="preserve">Quality Officer</t>
  </si>
  <si>
    <t xml:space="preserve">2026-02-28</t>
  </si>
  <si>
    <t xml:space="preserve">CAPA-003</t>
  </si>
  <si>
    <t xml:space="preserve">2026-02-05</t>
  </si>
  <si>
    <t xml:space="preserve">Competency assessment not documented for 2 staff</t>
  </si>
  <si>
    <t xml:space="preserve">Competency records stored in different locations</t>
  </si>
  <si>
    <t xml:space="preserve">Consolidate all competency records into central file</t>
  </si>
  <si>
    <t xml:space="preserve">Implement quarterly competency review schedule</t>
  </si>
  <si>
    <t xml:space="preserve">HR Manager</t>
  </si>
  <si>
    <t xml:space="preserve">2026-03-15</t>
  </si>
  <si>
    <t xml:space="preserve">CAPA-004</t>
  </si>
  <si>
    <t xml:space="preserve">2026-02-12</t>
  </si>
  <si>
    <t xml:space="preserve">Delayed TAT for routine chemistry panels</t>
  </si>
  <si>
    <t xml:space="preserve">Analyzer bottleneck during morning run</t>
  </si>
  <si>
    <t xml:space="preserve">Optimize sample loading sequence</t>
  </si>
  <si>
    <t xml:space="preserve">Evaluate need for additional analyzer capacity</t>
  </si>
  <si>
    <t xml:space="preserve">Lab Supervisor</t>
  </si>
  <si>
    <t xml:space="preserve">2026-03-01</t>
  </si>
  <si>
    <t xml:space="preserve">CAPA-005</t>
  </si>
  <si>
    <t xml:space="preserve">Westgard rule violation not acted upon</t>
  </si>
  <si>
    <t xml:space="preserve">Staff not trained on Westgard rules interpretation</t>
  </si>
  <si>
    <t xml:space="preserve">Retrain all staff on Westgard multi-rule QC</t>
  </si>
  <si>
    <t xml:space="preserve">Implement mandatory annual QC competency</t>
  </si>
  <si>
    <t xml:space="preserve">Quality Manager</t>
  </si>
  <si>
    <t xml:space="preserve">2026-03-20</t>
  </si>
  <si>
    <t xml:space="preserve">CAPA-006</t>
  </si>
  <si>
    <t xml:space="preserve">2026-03-10</t>
  </si>
  <si>
    <t xml:space="preserve">Chemical spill not reported within required timeframe</t>
  </si>
  <si>
    <t xml:space="preserve">Staff unsure of reporting procedure</t>
  </si>
  <si>
    <t xml:space="preserve">Post spill response procedure at all workstations</t>
  </si>
  <si>
    <t xml:space="preserve">Conduct safety refresher training for all staff</t>
  </si>
  <si>
    <t xml:space="preserve">Safety Officer</t>
  </si>
  <si>
    <t xml:space="preserve">2026-04-01</t>
  </si>
  <si>
    <t xml:space="preserve">CAPA-007</t>
  </si>
  <si>
    <t xml:space="preserve">Document review cycle not maintained</t>
  </si>
  <si>
    <t xml:space="preserve">No automated reminder system for document reviews</t>
  </si>
  <si>
    <t xml:space="preserve">Create document review calendar with reminders</t>
  </si>
  <si>
    <t xml:space="preserve">Implement QMS document control module</t>
  </si>
  <si>
    <t xml:space="preserve">2026-04-30</t>
  </si>
  <si>
    <t xml:space="preserve">CAPA-008</t>
  </si>
  <si>
    <t xml:space="preserve">Equipment maintenance logs incomplete</t>
  </si>
  <si>
    <t xml:space="preserve">Maintenance log not consistently filled</t>
  </si>
  <si>
    <t xml:space="preserve">Backfill missing maintenance records</t>
  </si>
  <si>
    <t xml:space="preserve">Implement digital maintenance log with mandatory fields</t>
  </si>
  <si>
    <t xml:space="preserve">2026-04-15</t>
  </si>
  <si>
    <t xml:space="preserve">2026-04-10</t>
  </si>
  <si>
    <t xml:space="preserve">CAPA Management Dashboard</t>
  </si>
  <si>
    <t xml:space="preserve">Total CAPAs</t>
  </si>
  <si>
    <t xml:space="preserve">Closure Rate %</t>
  </si>
  <si>
    <t xml:space="preserve">CAPA Status Breakdown</t>
  </si>
  <si>
    <t xml:space="preserve">Count</t>
  </si>
  <si>
    <t xml:space="preserve">CAPA Source Breakdown</t>
  </si>
  <si>
    <t xml:space="preserve">CAPA Aging Analysis</t>
  </si>
  <si>
    <t xml:space="preserve">Age</t>
  </si>
  <si>
    <t xml:space="preserve">0-30 Days</t>
  </si>
  <si>
    <t xml:space="preserve">31-60 Days</t>
  </si>
  <si>
    <t xml:space="preserve">61-90 Days</t>
  </si>
  <si>
    <t xml:space="preserve">90+ Days</t>
  </si>
</sst>
</file>

<file path=xl/styles.xml><?xml version="1.0" encoding="utf-8"?>
<styleSheet xmlns="http://schemas.openxmlformats.org/spreadsheetml/2006/main">
  <numFmts count="1">
    <numFmt numFmtId="164" formatCode="General"/>
  </numFmts>
  <fonts count="19">
    <font>
      <sz val="11"/>
      <color theme="1"/>
      <name val="Calibri"/>
      <family val="2"/>
      <charset val="1"/>
    </font>
    <font>
      <sz val="10"/>
      <name val="Arial"/>
      <family val="0"/>
    </font>
    <font>
      <sz val="10"/>
      <name val="Arial"/>
      <family val="0"/>
    </font>
    <font>
      <sz val="10"/>
      <name val="Arial"/>
      <family val="0"/>
    </font>
    <font>
      <b val="true"/>
      <sz val="22"/>
      <color rgb="FF071F3B"/>
      <name val="Calibri"/>
      <family val="0"/>
      <charset val="1"/>
    </font>
    <font>
      <i val="true"/>
      <sz val="11"/>
      <color rgb="FF087F83"/>
      <name val="Calibri"/>
      <family val="0"/>
      <charset val="1"/>
    </font>
    <font>
      <sz val="11"/>
      <color rgb="FF667789"/>
      <name val="Calibri"/>
      <family val="0"/>
      <charset val="1"/>
    </font>
    <font>
      <b val="true"/>
      <sz val="13"/>
      <color rgb="FF071F3B"/>
      <name val="Calibri"/>
      <family val="0"/>
      <charset val="1"/>
    </font>
    <font>
      <sz val="10"/>
      <color rgb="FF173047"/>
      <name val="Calibri"/>
      <family val="0"/>
      <charset val="1"/>
    </font>
    <font>
      <i val="true"/>
      <sz val="9"/>
      <color rgb="FF667789"/>
      <name val="Calibri"/>
      <family val="0"/>
      <charset val="1"/>
    </font>
    <font>
      <sz val="9"/>
      <color rgb="FF667789"/>
      <name val="Calibri"/>
      <family val="0"/>
      <charset val="1"/>
    </font>
    <font>
      <b val="true"/>
      <sz val="11"/>
      <color rgb="FFFFFFFF"/>
      <name val="Calibri"/>
      <family val="0"/>
      <charset val="1"/>
    </font>
    <font>
      <b val="true"/>
      <sz val="10"/>
      <color rgb="FF173047"/>
      <name val="Calibri"/>
      <family val="0"/>
      <charset val="1"/>
    </font>
    <font>
      <b val="true"/>
      <sz val="18"/>
      <color rgb="FF071F3B"/>
      <name val="Calibri"/>
      <family val="0"/>
      <charset val="1"/>
    </font>
    <font>
      <b val="true"/>
      <sz val="9"/>
      <color rgb="FFD4E2EB"/>
      <name val="Calibri"/>
      <family val="0"/>
      <charset val="1"/>
    </font>
    <font>
      <b val="true"/>
      <sz val="22"/>
      <color rgb="FFF0CB67"/>
      <name val="Calibri"/>
      <family val="0"/>
      <charset val="1"/>
    </font>
    <font>
      <b val="true"/>
      <sz val="18"/>
      <color rgb="FF000000"/>
      <name val="Calibri"/>
      <family val="2"/>
    </font>
    <font>
      <sz val="10"/>
      <color rgb="FF000000"/>
      <name val="Calibri"/>
      <family val="2"/>
    </font>
    <font>
      <b val="true"/>
      <sz val="10"/>
      <color rgb="FF000000"/>
      <name val="Calibri"/>
      <family val="2"/>
    </font>
  </fonts>
  <fills count="5">
    <fill>
      <patternFill patternType="none"/>
    </fill>
    <fill>
      <patternFill patternType="gray125"/>
    </fill>
    <fill>
      <patternFill patternType="solid">
        <fgColor rgb="FF071F3B"/>
        <bgColor rgb="FF173047"/>
      </patternFill>
    </fill>
    <fill>
      <patternFill patternType="solid">
        <fgColor rgb="FF087F83"/>
        <bgColor rgb="FF008080"/>
      </patternFill>
    </fill>
    <fill>
      <patternFill patternType="solid">
        <fgColor rgb="FFEAF7F7"/>
        <bgColor rgb="FFFFFFFF"/>
      </patternFill>
    </fill>
  </fills>
  <borders count="3">
    <border diagonalUp="false" diagonalDown="false">
      <left/>
      <right/>
      <top/>
      <bottom/>
      <diagonal/>
    </border>
    <border diagonalUp="false" diagonalDown="false">
      <left/>
      <right/>
      <top/>
      <bottom style="medium">
        <color rgb="FFD8A72B"/>
      </bottom>
      <diagonal/>
    </border>
    <border diagonalUp="false" diagonalDown="false">
      <left style="thin">
        <color rgb="FFDCE6EB"/>
      </left>
      <right style="thin">
        <color rgb="FFDCE6EB"/>
      </right>
      <top style="thin">
        <color rgb="FFDCE6EB"/>
      </top>
      <bottom style="thin">
        <color rgb="FFDCE6E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2" borderId="2"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1" fillId="3" borderId="2" xfId="0" applyFont="true" applyBorder="true" applyAlignment="true" applyProtection="false">
      <alignment horizontal="center" vertical="center" textRotation="0" wrapText="true" indent="0" shrinkToFit="false"/>
      <protection locked="true" hidden="false"/>
    </xf>
    <xf numFmtId="164" fontId="8" fillId="0" borderId="2"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center" vertical="center" textRotation="0" wrapText="true" indent="0" shrinkToFit="false"/>
      <protection locked="true" hidden="false"/>
    </xf>
    <xf numFmtId="164" fontId="8" fillId="0" borderId="2" xfId="0" applyFont="true" applyBorder="true" applyAlignment="true" applyProtection="false">
      <alignment horizontal="left" vertical="center" textRotation="0" wrapText="true" indent="0" shrinkToFit="false"/>
      <protection locked="true" hidden="false"/>
    </xf>
    <xf numFmtId="164" fontId="12" fillId="4" borderId="2"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center" vertical="center" textRotation="0" wrapText="false" indent="0" shrinkToFit="false"/>
      <protection locked="true" hidden="false"/>
    </xf>
    <xf numFmtId="164" fontId="14" fillId="2" borderId="0" xfId="0" applyFont="true" applyBorder="true" applyAlignment="true" applyProtection="false">
      <alignment horizontal="center" vertical="center" textRotation="0" wrapText="false" indent="0" shrinkToFit="false"/>
      <protection locked="true" hidden="false"/>
    </xf>
    <xf numFmtId="164" fontId="15" fillId="2" borderId="0"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087F83"/>
          <bgColor rgb="FF000000"/>
        </patternFill>
      </fill>
    </dxf>
    <dxf>
      <fill>
        <patternFill patternType="solid">
          <bgColor rgb="FF000000"/>
        </patternFill>
      </fill>
    </dxf>
    <dxf>
      <fill>
        <patternFill patternType="solid">
          <fgColor rgb="FF173047"/>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FFA94D"/>
          <bgColor rgb="FF000000"/>
        </patternFill>
      </fill>
    </dxf>
    <dxf>
      <fill>
        <patternFill patternType="solid">
          <fgColor rgb="FFEAF7F7"/>
          <bgColor rgb="FF000000"/>
        </patternFill>
      </fill>
    </dxf>
    <dxf>
      <fill>
        <patternFill patternType="solid">
          <fgColor rgb="FFFF6B6B"/>
          <bgColor rgb="FF000000"/>
        </patternFill>
      </fill>
    </dxf>
    <dxf>
      <font>
        <b val="1"/>
        <color rgb="FFFFFFFF"/>
      </font>
      <fill>
        <patternFill>
          <bgColor rgb="FFFF6B6B"/>
        </patternFill>
      </fill>
    </dxf>
    <dxf>
      <fill>
        <patternFill>
          <bgColor rgb="FFFFA94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87F83"/>
      <rgbColor rgb="FFC0C0C0"/>
      <rgbColor rgb="FF878787"/>
      <rgbColor rgb="FF9999FF"/>
      <rgbColor rgb="FFC0504D"/>
      <rgbColor rgb="FFFFFFCC"/>
      <rgbColor rgb="FFEAF7F7"/>
      <rgbColor rgb="FF660066"/>
      <rgbColor rgb="FFFF6B6B"/>
      <rgbColor rgb="FF0066CC"/>
      <rgbColor rgb="FFD9D9D9"/>
      <rgbColor rgb="FF000080"/>
      <rgbColor rgb="FFFF00FF"/>
      <rgbColor rgb="FFFFFF00"/>
      <rgbColor rgb="FF00FFFF"/>
      <rgbColor rgb="FF800080"/>
      <rgbColor rgb="FF800000"/>
      <rgbColor rgb="FF008080"/>
      <rgbColor rgb="FF0000FF"/>
      <rgbColor rgb="FF00CCFF"/>
      <rgbColor rgb="FFDCE6EB"/>
      <rgbColor rgb="FFD4E2EB"/>
      <rgbColor rgb="FFFFFF99"/>
      <rgbColor rgb="FF99CCFF"/>
      <rgbColor rgb="FFFF99CC"/>
      <rgbColor rgb="FFCC99FF"/>
      <rgbColor rgb="FFF0CB67"/>
      <rgbColor rgb="FF4F81BD"/>
      <rgbColor rgb="FF4BACC6"/>
      <rgbColor rgb="FF9BBB59"/>
      <rgbColor rgb="FFFFA94D"/>
      <rgbColor rgb="FFD8A72B"/>
      <rgbColor rgb="FFFF6600"/>
      <rgbColor rgb="FF667789"/>
      <rgbColor rgb="FF8064A2"/>
      <rgbColor rgb="FF173047"/>
      <rgbColor rgb="FF339966"/>
      <rgbColor rgb="FF071F3B"/>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CAPA Status Breakdown</a:t>
            </a:r>
          </a:p>
        </c:rich>
      </c:tx>
      <c:overlay val="0"/>
      <c:spPr>
        <a:noFill/>
        <a:ln w="0">
          <a:noFill/>
        </a:ln>
      </c:spPr>
    </c:title>
    <c:autoTitleDeleted val="0"/>
    <c:plotArea>
      <c:pieChart>
        <c:varyColors val="1"/>
        <c:ser>
          <c:idx val="0"/>
          <c:order val="0"/>
          <c:tx>
            <c:strRef>
              <c:f>Dashboard!C10</c:f>
              <c:strCache>
                <c:ptCount val="1"/>
                <c:pt idx="0">
                  <c:v>Count</c:v>
                </c:pt>
              </c:strCache>
            </c:strRef>
          </c:tx>
          <c:spPr>
            <a:solidFill>
              <a:srgbClr val="4F81BD"/>
            </a:solidFill>
            <a:ln w="12600">
              <a:noFill/>
            </a:ln>
          </c:spPr>
          <c:explosion val="0"/>
          <c:dPt>
            <c:idx val="0"/>
            <c:spPr>
              <a:solidFill>
                <a:srgbClr val="4F81BD"/>
              </a:solidFill>
              <a:ln w="12600">
                <a:noFill/>
              </a:ln>
            </c:spPr>
          </c:dPt>
          <c:dPt>
            <c:idx val="1"/>
            <c:spPr>
              <a:solidFill>
                <a:srgbClr val="C0504D"/>
              </a:solidFill>
              <a:ln w="12600">
                <a:noFill/>
              </a:ln>
            </c:spPr>
          </c:dPt>
          <c:dPt>
            <c:idx val="2"/>
            <c:spPr>
              <a:solidFill>
                <a:srgbClr val="9BBB59"/>
              </a:solidFill>
              <a:ln w="12600">
                <a:noFill/>
              </a:ln>
            </c:spPr>
          </c:dPt>
          <c:dPt>
            <c:idx val="3"/>
            <c:spPr>
              <a:solidFill>
                <a:srgbClr val="8064A2"/>
              </a:solidFill>
              <a:ln w="12600">
                <a:noFill/>
              </a:ln>
            </c:spPr>
          </c:dPt>
          <c:dPt>
            <c:idx val="4"/>
            <c:spPr>
              <a:solidFill>
                <a:srgbClr val="4BACC6"/>
              </a:solidFill>
              <a:ln w="12600">
                <a:noFill/>
              </a:ln>
            </c:spPr>
          </c:dPt>
          <c:dLbls>
            <c:dLbl>
              <c:idx val="0"/>
              <c:numFmt formatCode="General" sourceLinked="1"/>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dLbl>
            <c:dLbl>
              <c:idx val="1"/>
              <c:numFmt formatCode="General" sourceLinked="1"/>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dLbl>
            <c:dLbl>
              <c:idx val="2"/>
              <c:numFmt formatCode="General" sourceLinked="1"/>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dLbl>
            <c:dLbl>
              <c:idx val="3"/>
              <c:numFmt formatCode="General" sourceLinked="1"/>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dLbl>
            <c:dLbl>
              <c:idx val="4"/>
              <c:numFmt formatCode="General" sourceLinked="1"/>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dLbl>
            <c:numFmt formatCode="General" sourceLinked="1"/>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showLeaderLines val="1"/>
            <c:leaderLines>
              <c:spPr>
                <a:ln w="0">
                  <a:solidFill>
                    <a:srgbClr val="000000"/>
                  </a:solidFill>
                </a:ln>
              </c:spPr>
            </c:leaderLines>
          </c:dLbls>
          <c:cat>
            <c:strRef>
              <c:f>Dashboard!$B$11:$B$15</c:f>
              <c:strCache>
                <c:ptCount val="5"/>
                <c:pt idx="0">
                  <c:v>Open</c:v>
                </c:pt>
                <c:pt idx="1">
                  <c:v>In Progress</c:v>
                </c:pt>
                <c:pt idx="2">
                  <c:v>Closed</c:v>
                </c:pt>
                <c:pt idx="3">
                  <c:v>Overdue</c:v>
                </c:pt>
                <c:pt idx="4">
                  <c:v>Cancelled</c:v>
                </c:pt>
              </c:strCache>
            </c:strRef>
          </c:cat>
          <c:val>
            <c:numRef>
              <c:f>Dashboard!$C$11:$C$15</c:f>
              <c:numCache>
                <c:formatCode>General</c:formatCode>
                <c:ptCount val="5"/>
                <c:pt idx="0">
                  <c:v>3</c:v>
                </c:pt>
                <c:pt idx="1">
                  <c:v>3</c:v>
                </c:pt>
                <c:pt idx="2">
                  <c:v>2</c:v>
                </c:pt>
                <c:pt idx="3">
                  <c:v>0</c:v>
                </c:pt>
                <c:pt idx="4">
                  <c:v>0</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CAPA Sources</a:t>
            </a:r>
          </a:p>
        </c:rich>
      </c:tx>
      <c:overlay val="0"/>
      <c:spPr>
        <a:noFill/>
        <a:ln w="0">
          <a:noFill/>
        </a:ln>
      </c:spPr>
    </c:title>
    <c:autoTitleDeleted val="0"/>
    <c:plotArea>
      <c:barChart>
        <c:barDir val="col"/>
        <c:grouping val="clustered"/>
        <c:varyColors val="0"/>
        <c:ser>
          <c:idx val="0"/>
          <c:order val="0"/>
          <c:tx>
            <c:strRef>
              <c:f>Dashboard!C23</c:f>
              <c:strCache>
                <c:ptCount val="1"/>
                <c:pt idx="0">
                  <c:v>Count</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Dashboard!$B$24:$B$30</c:f>
              <c:strCache>
                <c:ptCount val="7"/>
                <c:pt idx="0">
                  <c:v>Audit Finding</c:v>
                </c:pt>
                <c:pt idx="1">
                  <c:v>Incident</c:v>
                </c:pt>
                <c:pt idx="2">
                  <c:v>Complaint</c:v>
                </c:pt>
                <c:pt idx="3">
                  <c:v>External Assessment</c:v>
                </c:pt>
                <c:pt idx="4">
                  <c:v>Internal Review</c:v>
                </c:pt>
                <c:pt idx="5">
                  <c:v>QC Failure</c:v>
                </c:pt>
                <c:pt idx="6">
                  <c:v>Safety Event</c:v>
                </c:pt>
              </c:strCache>
            </c:strRef>
          </c:cat>
          <c:val>
            <c:numRef>
              <c:f>Dashboard!$C$24:$C$30</c:f>
              <c:numCache>
                <c:formatCode>General</c:formatCode>
                <c:ptCount val="7"/>
                <c:pt idx="0">
                  <c:v>2</c:v>
                </c:pt>
                <c:pt idx="1">
                  <c:v>1</c:v>
                </c:pt>
                <c:pt idx="2">
                  <c:v>1</c:v>
                </c:pt>
                <c:pt idx="3">
                  <c:v>1</c:v>
                </c:pt>
                <c:pt idx="4">
                  <c:v>1</c:v>
                </c:pt>
                <c:pt idx="5">
                  <c:v>1</c:v>
                </c:pt>
                <c:pt idx="6">
                  <c:v>1</c:v>
                </c:pt>
              </c:numCache>
            </c:numRef>
          </c:val>
        </c:ser>
        <c:gapWidth val="150"/>
        <c:overlap val="0"/>
        <c:axId val="13542912"/>
        <c:axId val="55944249"/>
      </c:barChart>
      <c:catAx>
        <c:axId val="13542912"/>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5944249"/>
        <c:crosses val="autoZero"/>
        <c:auto val="1"/>
        <c:lblAlgn val="ctr"/>
        <c:lblOffset val="100"/>
        <c:noMultiLvlLbl val="0"/>
      </c:catAx>
      <c:valAx>
        <c:axId val="55944249"/>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Count</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354291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CAPA Aging</a:t>
            </a:r>
          </a:p>
        </c:rich>
      </c:tx>
      <c:overlay val="0"/>
      <c:spPr>
        <a:noFill/>
        <a:ln w="0">
          <a:noFill/>
        </a:ln>
      </c:spPr>
    </c:title>
    <c:autoTitleDeleted val="0"/>
    <c:plotArea>
      <c:barChart>
        <c:barDir val="col"/>
        <c:grouping val="clustered"/>
        <c:varyColors val="0"/>
        <c:ser>
          <c:idx val="0"/>
          <c:order val="0"/>
          <c:tx>
            <c:strRef>
              <c:f>Dashboard!C36</c:f>
              <c:strCache>
                <c:ptCount val="1"/>
                <c:pt idx="0">
                  <c:v>Count</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Dashboard!$B$37:$B$40</c:f>
              <c:strCache>
                <c:ptCount val="4"/>
                <c:pt idx="0">
                  <c:v>0-30 Days</c:v>
                </c:pt>
                <c:pt idx="1">
                  <c:v>31-60 Days</c:v>
                </c:pt>
                <c:pt idx="2">
                  <c:v>61-90 Days</c:v>
                </c:pt>
                <c:pt idx="3">
                  <c:v>90+ Days</c:v>
                </c:pt>
              </c:strCache>
            </c:strRef>
          </c:cat>
          <c:val>
            <c:numRef>
              <c:f>Dashboard!$C$37:$C$40</c:f>
              <c:numCache>
                <c:formatCode>General</c:formatCode>
                <c:ptCount val="4"/>
                <c:pt idx="0">
                  <c:v>0</c:v>
                </c:pt>
                <c:pt idx="1">
                  <c:v>0</c:v>
                </c:pt>
                <c:pt idx="2">
                  <c:v>0</c:v>
                </c:pt>
                <c:pt idx="3">
                  <c:v>6</c:v>
                </c:pt>
              </c:numCache>
            </c:numRef>
          </c:val>
        </c:ser>
        <c:gapWidth val="150"/>
        <c:overlap val="0"/>
        <c:axId val="74779199"/>
        <c:axId val="27760702"/>
      </c:barChart>
      <c:catAx>
        <c:axId val="7477919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7760702"/>
        <c:crosses val="autoZero"/>
        <c:auto val="1"/>
        <c:lblAlgn val="ctr"/>
        <c:lblOffset val="100"/>
        <c:noMultiLvlLbl val="0"/>
      </c:catAx>
      <c:valAx>
        <c:axId val="27760702"/>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Count</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477919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1</xdr:col>
      <xdr:colOff>1094760</xdr:colOff>
      <xdr:row>4</xdr:row>
      <xdr:rowOff>94320</xdr:rowOff>
    </xdr:to>
    <xdr:pic>
      <xdr:nvPicPr>
        <xdr:cNvPr id="1" name="Image 1" descr="Picture"/>
        <xdr:cNvPicPr/>
      </xdr:nvPicPr>
      <xdr:blipFill>
        <a:blip r:embed="rId1"/>
        <a:stretch/>
      </xdr:blipFill>
      <xdr:spPr>
        <a:xfrm>
          <a:off x="211320" y="190440"/>
          <a:ext cx="1094760" cy="66600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8</xdr:row>
      <xdr:rowOff>0</xdr:rowOff>
    </xdr:from>
    <xdr:to>
      <xdr:col>8</xdr:col>
      <xdr:colOff>372240</xdr:colOff>
      <xdr:row>21</xdr:row>
      <xdr:rowOff>288360</xdr:rowOff>
    </xdr:to>
    <xdr:graphicFrame>
      <xdr:nvGraphicFramePr>
        <xdr:cNvPr id="2" name="Chart 1"/>
        <xdr:cNvGraphicFramePr/>
      </xdr:nvGraphicFramePr>
      <xdr:xfrm>
        <a:off x="3171960" y="1933560"/>
        <a:ext cx="4319280" cy="287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21</xdr:row>
      <xdr:rowOff>0</xdr:rowOff>
    </xdr:from>
    <xdr:to>
      <xdr:col>9</xdr:col>
      <xdr:colOff>105480</xdr:colOff>
      <xdr:row>34</xdr:row>
      <xdr:rowOff>176040</xdr:rowOff>
    </xdr:to>
    <xdr:graphicFrame>
      <xdr:nvGraphicFramePr>
        <xdr:cNvPr id="3" name="Chart 2"/>
        <xdr:cNvGraphicFramePr/>
      </xdr:nvGraphicFramePr>
      <xdr:xfrm>
        <a:off x="3171960" y="4524480"/>
        <a:ext cx="5039280" cy="2871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0</xdr:colOff>
      <xdr:row>34</xdr:row>
      <xdr:rowOff>0</xdr:rowOff>
    </xdr:from>
    <xdr:to>
      <xdr:col>9</xdr:col>
      <xdr:colOff>105480</xdr:colOff>
      <xdr:row>48</xdr:row>
      <xdr:rowOff>98280</xdr:rowOff>
    </xdr:to>
    <xdr:graphicFrame>
      <xdr:nvGraphicFramePr>
        <xdr:cNvPr id="4" name="Chart 3"/>
        <xdr:cNvGraphicFramePr/>
      </xdr:nvGraphicFramePr>
      <xdr:xfrm>
        <a:off x="3171960" y="7219800"/>
        <a:ext cx="503928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9:C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55"/>
    <col collapsed="false" customWidth="true" hidden="false" outlineLevel="0" max="3" min="3" style="1" width="3"/>
  </cols>
  <sheetData>
    <row r="9" customFormat="false" ht="26.25" hidden="false" customHeight="true" outlineLevel="0" collapsed="false">
      <c r="B9" s="2" t="s">
        <v>0</v>
      </c>
    </row>
    <row r="10" customFormat="false" ht="15" hidden="false" customHeight="true" outlineLevel="0" collapsed="false">
      <c r="B10" s="3" t="s">
        <v>1</v>
      </c>
    </row>
    <row r="12" customFormat="false" ht="15" hidden="false" customHeight="true" outlineLevel="0" collapsed="false">
      <c r="B12" s="4"/>
      <c r="C12" s="4"/>
    </row>
    <row r="13" customFormat="false" ht="49.5" hidden="false" customHeight="true" outlineLevel="0" collapsed="false">
      <c r="B13" s="5" t="s">
        <v>2</v>
      </c>
    </row>
    <row r="15" customFormat="false" ht="15.75" hidden="false" customHeight="true" outlineLevel="0" collapsed="false">
      <c r="B15" s="6" t="s">
        <v>3</v>
      </c>
    </row>
    <row r="16" customFormat="false" ht="15" hidden="false" customHeight="true" outlineLevel="0" collapsed="false">
      <c r="B16" s="7" t="s">
        <v>4</v>
      </c>
    </row>
    <row r="17" customFormat="false" ht="15" hidden="false" customHeight="true" outlineLevel="0" collapsed="false">
      <c r="B17" s="7" t="s">
        <v>5</v>
      </c>
    </row>
    <row r="18" customFormat="false" ht="15" hidden="false" customHeight="true" outlineLevel="0" collapsed="false">
      <c r="B18" s="7" t="s">
        <v>6</v>
      </c>
    </row>
    <row r="19" customFormat="false" ht="15" hidden="false" customHeight="true" outlineLevel="0" collapsed="false">
      <c r="B19" s="7" t="s">
        <v>7</v>
      </c>
    </row>
    <row r="20" customFormat="false" ht="15" hidden="false" customHeight="true" outlineLevel="0" collapsed="false">
      <c r="B20" s="7" t="s">
        <v>8</v>
      </c>
    </row>
    <row r="21" customFormat="false" ht="15" hidden="false" customHeight="true" outlineLevel="0" collapsed="false">
      <c r="B21" s="7" t="s">
        <v>9</v>
      </c>
    </row>
    <row r="23" customFormat="false" ht="15.75" hidden="false" customHeight="true" outlineLevel="0" collapsed="false">
      <c r="B23" s="6" t="s">
        <v>10</v>
      </c>
    </row>
    <row r="24" customFormat="false" ht="15" hidden="false" customHeight="true" outlineLevel="0" collapsed="false">
      <c r="B24" s="7" t="s">
        <v>11</v>
      </c>
    </row>
    <row r="25" customFormat="false" ht="15" hidden="false" customHeight="true" outlineLevel="0" collapsed="false">
      <c r="B25" s="7" t="s">
        <v>12</v>
      </c>
    </row>
    <row r="26" customFormat="false" ht="15" hidden="false" customHeight="true" outlineLevel="0" collapsed="false">
      <c r="B26" s="7" t="s">
        <v>13</v>
      </c>
    </row>
    <row r="27" customFormat="false" ht="15" hidden="false" customHeight="true" outlineLevel="0" collapsed="false">
      <c r="B27" s="7" t="s">
        <v>14</v>
      </c>
    </row>
    <row r="28" customFormat="false" ht="15" hidden="false" customHeight="true" outlineLevel="0" collapsed="false">
      <c r="B28" s="7" t="s">
        <v>15</v>
      </c>
    </row>
    <row r="29" customFormat="false" ht="15" hidden="false" customHeight="true" outlineLevel="0" collapsed="false">
      <c r="B29" s="7" t="s">
        <v>16</v>
      </c>
    </row>
    <row r="31" customFormat="false" ht="15.75" hidden="false" customHeight="true" outlineLevel="0" collapsed="false">
      <c r="B31" s="6" t="s">
        <v>17</v>
      </c>
    </row>
    <row r="32" customFormat="false" ht="64.5" hidden="false" customHeight="true" outlineLevel="0" collapsed="false">
      <c r="B32" s="8" t="s">
        <v>18</v>
      </c>
    </row>
    <row r="34" customFormat="false" ht="15" hidden="false" customHeight="true" outlineLevel="0" collapsed="false">
      <c r="B34" s="9"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4" min="1" style="1" width="25"/>
  </cols>
  <sheetData>
    <row r="1" customFormat="false" ht="15" hidden="false" customHeight="true" outlineLevel="0" collapsed="false">
      <c r="A1" s="10" t="s">
        <v>20</v>
      </c>
      <c r="B1" s="10" t="s">
        <v>21</v>
      </c>
      <c r="C1" s="10" t="s">
        <v>22</v>
      </c>
      <c r="D1" s="10" t="s">
        <v>23</v>
      </c>
    </row>
    <row r="2" customFormat="false" ht="15" hidden="false" customHeight="true" outlineLevel="0" collapsed="false">
      <c r="A2" s="11" t="s">
        <v>24</v>
      </c>
      <c r="B2" s="11" t="s">
        <v>25</v>
      </c>
      <c r="C2" s="11" t="s">
        <v>26</v>
      </c>
      <c r="D2" s="11" t="s">
        <v>27</v>
      </c>
    </row>
    <row r="3" customFormat="false" ht="15" hidden="false" customHeight="true" outlineLevel="0" collapsed="false">
      <c r="A3" s="11" t="s">
        <v>28</v>
      </c>
      <c r="B3" s="11" t="s">
        <v>29</v>
      </c>
      <c r="C3" s="11" t="s">
        <v>30</v>
      </c>
      <c r="D3" s="11" t="s">
        <v>31</v>
      </c>
    </row>
    <row r="4" customFormat="false" ht="15" hidden="false" customHeight="true" outlineLevel="0" collapsed="false">
      <c r="A4" s="11" t="s">
        <v>32</v>
      </c>
      <c r="B4" s="11" t="s">
        <v>33</v>
      </c>
      <c r="C4" s="11" t="s">
        <v>34</v>
      </c>
      <c r="D4" s="11" t="s">
        <v>35</v>
      </c>
    </row>
    <row r="5" customFormat="false" ht="15" hidden="false" customHeight="true" outlineLevel="0" collapsed="false">
      <c r="A5" s="11" t="s">
        <v>36</v>
      </c>
      <c r="B5" s="11" t="s">
        <v>37</v>
      </c>
      <c r="C5" s="11" t="s">
        <v>38</v>
      </c>
      <c r="D5" s="11" t="s">
        <v>39</v>
      </c>
    </row>
    <row r="6" customFormat="false" ht="15" hidden="false" customHeight="true" outlineLevel="0" collapsed="false">
      <c r="A6" s="11" t="s">
        <v>40</v>
      </c>
      <c r="B6" s="11" t="s">
        <v>41</v>
      </c>
      <c r="C6" s="11" t="s">
        <v>42</v>
      </c>
      <c r="D6" s="11" t="s">
        <v>43</v>
      </c>
    </row>
    <row r="7" customFormat="false" ht="15" hidden="false" customHeight="true" outlineLevel="0" collapsed="false">
      <c r="A7" s="11" t="s">
        <v>44</v>
      </c>
    </row>
    <row r="8" customFormat="false" ht="15" hidden="false" customHeight="true" outlineLevel="0" collapsed="false">
      <c r="A8" s="11"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4"/>
    <col collapsed="false" customWidth="true" hidden="false" outlineLevel="0" max="2" min="2" style="1" width="10"/>
    <col collapsed="false" customWidth="true" hidden="false" outlineLevel="0" max="3" min="3" style="1" width="12"/>
    <col collapsed="false" customWidth="true" hidden="false" outlineLevel="0" max="4" min="4" style="1" width="16"/>
    <col collapsed="false" customWidth="true" hidden="false" outlineLevel="0" max="5" min="5" style="1" width="32"/>
    <col collapsed="false" customWidth="true" hidden="false" outlineLevel="0" max="6" min="6" style="1" width="28"/>
    <col collapsed="false" customWidth="true" hidden="false" outlineLevel="0" max="7" min="7" style="1" width="12"/>
    <col collapsed="false" customWidth="true" hidden="false" outlineLevel="0" max="9" min="8" style="1" width="28"/>
    <col collapsed="false" customWidth="true" hidden="false" outlineLevel="0" max="10" min="10" style="1" width="14"/>
    <col collapsed="false" customWidth="true" hidden="false" outlineLevel="0" max="13" min="11" style="1" width="12"/>
    <col collapsed="false" customWidth="true" hidden="false" outlineLevel="0" max="14" min="14" style="1" width="10"/>
    <col collapsed="false" customWidth="true" hidden="false" outlineLevel="0" max="15" min="15" style="1" width="12"/>
    <col collapsed="false" customWidth="true" hidden="false" outlineLevel="0" max="16" min="16" style="1" width="16"/>
    <col collapsed="false" customWidth="true" hidden="false" outlineLevel="0" max="17" min="17" style="1" width="12"/>
  </cols>
  <sheetData>
    <row r="1" customFormat="false" ht="39.75" hidden="false" customHeight="true" outlineLevel="0" collapsed="false">
      <c r="A1" s="12" t="s">
        <v>46</v>
      </c>
      <c r="B1" s="12" t="s">
        <v>47</v>
      </c>
      <c r="C1" s="12" t="s">
        <v>48</v>
      </c>
      <c r="D1" s="12" t="s">
        <v>49</v>
      </c>
      <c r="E1" s="12" t="s">
        <v>50</v>
      </c>
      <c r="F1" s="12" t="s">
        <v>51</v>
      </c>
      <c r="G1" s="12" t="s">
        <v>52</v>
      </c>
      <c r="H1" s="12" t="s">
        <v>53</v>
      </c>
      <c r="I1" s="12" t="s">
        <v>54</v>
      </c>
      <c r="J1" s="12" t="s">
        <v>55</v>
      </c>
      <c r="K1" s="12" t="s">
        <v>56</v>
      </c>
      <c r="L1" s="12" t="s">
        <v>21</v>
      </c>
      <c r="M1" s="12" t="s">
        <v>57</v>
      </c>
      <c r="N1" s="12" t="s">
        <v>58</v>
      </c>
      <c r="O1" s="12" t="s">
        <v>59</v>
      </c>
      <c r="P1" s="12" t="s">
        <v>23</v>
      </c>
      <c r="Q1" s="12" t="s">
        <v>60</v>
      </c>
    </row>
    <row r="2" customFormat="false" ht="23.25" hidden="false" customHeight="true" outlineLevel="0" collapsed="false">
      <c r="A2" s="13" t="n">
        <v>1</v>
      </c>
      <c r="B2" s="14" t="s">
        <v>61</v>
      </c>
      <c r="C2" s="13" t="s">
        <v>62</v>
      </c>
      <c r="D2" s="15" t="s">
        <v>24</v>
      </c>
      <c r="E2" s="15" t="s">
        <v>63</v>
      </c>
      <c r="F2" s="15" t="s">
        <v>64</v>
      </c>
      <c r="G2" s="13" t="s">
        <v>26</v>
      </c>
      <c r="H2" s="15" t="s">
        <v>65</v>
      </c>
      <c r="I2" s="15" t="s">
        <v>66</v>
      </c>
      <c r="J2" s="15" t="s">
        <v>67</v>
      </c>
      <c r="K2" s="13" t="s">
        <v>68</v>
      </c>
      <c r="L2" s="13" t="s">
        <v>33</v>
      </c>
      <c r="M2" s="13" t="s">
        <v>69</v>
      </c>
      <c r="N2" s="16" t="n">
        <f aca="true">IFERROR(IF(L2="Closed",IF(N2&lt;&gt;"",DATEVALUE(N2)-DATEVALUE(C2),0),IF(C2&lt;&gt;"",TODAY()-DATEVALUE(C2),0)),0)</f>
        <v>0</v>
      </c>
      <c r="O2" s="13" t="str">
        <f aca="false">IFERROR(IF(N2=0,"",IF(N2&lt;=30,"0-30 Days",IF(N2&lt;=60,"31-60 Days",IF(N2&lt;=90,"61-90 Days","90+ Days")))),"")</f>
        <v/>
      </c>
      <c r="P2" s="13" t="s">
        <v>27</v>
      </c>
      <c r="Q2" s="15"/>
    </row>
    <row r="3" customFormat="false" ht="23.25" hidden="false" customHeight="true" outlineLevel="0" collapsed="false">
      <c r="A3" s="13" t="n">
        <v>2</v>
      </c>
      <c r="B3" s="14" t="s">
        <v>70</v>
      </c>
      <c r="C3" s="13" t="s">
        <v>71</v>
      </c>
      <c r="D3" s="15" t="s">
        <v>28</v>
      </c>
      <c r="E3" s="15" t="s">
        <v>72</v>
      </c>
      <c r="F3" s="15" t="s">
        <v>73</v>
      </c>
      <c r="G3" s="13" t="s">
        <v>26</v>
      </c>
      <c r="H3" s="15" t="s">
        <v>74</v>
      </c>
      <c r="I3" s="15" t="s">
        <v>75</v>
      </c>
      <c r="J3" s="15" t="s">
        <v>76</v>
      </c>
      <c r="K3" s="13" t="s">
        <v>77</v>
      </c>
      <c r="L3" s="13" t="s">
        <v>29</v>
      </c>
      <c r="M3" s="13"/>
      <c r="N3" s="16" t="n">
        <f aca="true">IFERROR(IF(L3="Closed",IF(N3&lt;&gt;"",DATEVALUE(N3)-DATEVALUE(C3),0),IF(C3&lt;&gt;"",TODAY()-DATEVALUE(C3),0)),0)</f>
        <v>260</v>
      </c>
      <c r="O3" s="13" t="str">
        <f aca="false">IFERROR(IF(N3=0,"",IF(N3&lt;=30,"0-30 Days",IF(N3&lt;=60,"31-60 Days",IF(N3&lt;=90,"61-90 Days","90+ Days")))),"")</f>
        <v>90+ Days</v>
      </c>
      <c r="P3" s="13"/>
      <c r="Q3" s="15"/>
    </row>
    <row r="4" customFormat="false" ht="23.25" hidden="false" customHeight="true" outlineLevel="0" collapsed="false">
      <c r="A4" s="13" t="n">
        <v>3</v>
      </c>
      <c r="B4" s="14" t="s">
        <v>78</v>
      </c>
      <c r="C4" s="13" t="s">
        <v>79</v>
      </c>
      <c r="D4" s="15" t="s">
        <v>36</v>
      </c>
      <c r="E4" s="15" t="s">
        <v>80</v>
      </c>
      <c r="F4" s="15" t="s">
        <v>81</v>
      </c>
      <c r="G4" s="13" t="s">
        <v>30</v>
      </c>
      <c r="H4" s="15" t="s">
        <v>82</v>
      </c>
      <c r="I4" s="15" t="s">
        <v>83</v>
      </c>
      <c r="J4" s="15" t="s">
        <v>84</v>
      </c>
      <c r="K4" s="13" t="s">
        <v>85</v>
      </c>
      <c r="L4" s="13" t="s">
        <v>25</v>
      </c>
      <c r="M4" s="13"/>
      <c r="N4" s="16" t="n">
        <f aca="true">IFERROR(IF(L4="Closed",IF(N4&lt;&gt;"",DATEVALUE(N4)-DATEVALUE(C4),0),IF(C4&lt;&gt;"",TODAY()-DATEVALUE(C4),0)),0)</f>
        <v>244</v>
      </c>
      <c r="O4" s="13" t="str">
        <f aca="false">IFERROR(IF(N4=0,"",IF(N4&lt;=30,"0-30 Days",IF(N4&lt;=60,"31-60 Days",IF(N4&lt;=90,"61-90 Days","90+ Days")))),"")</f>
        <v>90+ Days</v>
      </c>
      <c r="P4" s="13"/>
      <c r="Q4" s="15"/>
    </row>
    <row r="5" customFormat="false" ht="23.25" hidden="false" customHeight="true" outlineLevel="0" collapsed="false">
      <c r="A5" s="13" t="n">
        <v>4</v>
      </c>
      <c r="B5" s="14" t="s">
        <v>86</v>
      </c>
      <c r="C5" s="13" t="s">
        <v>87</v>
      </c>
      <c r="D5" s="15" t="s">
        <v>32</v>
      </c>
      <c r="E5" s="15" t="s">
        <v>88</v>
      </c>
      <c r="F5" s="15" t="s">
        <v>89</v>
      </c>
      <c r="G5" s="13" t="s">
        <v>42</v>
      </c>
      <c r="H5" s="15" t="s">
        <v>90</v>
      </c>
      <c r="I5" s="15" t="s">
        <v>91</v>
      </c>
      <c r="J5" s="15" t="s">
        <v>92</v>
      </c>
      <c r="K5" s="13" t="s">
        <v>93</v>
      </c>
      <c r="L5" s="13" t="s">
        <v>29</v>
      </c>
      <c r="M5" s="13"/>
      <c r="N5" s="16" t="n">
        <f aca="true">IFERROR(IF(L5="Closed",IF(N5&lt;&gt;"",DATEVALUE(N5)-DATEVALUE(C5),0),IF(C5&lt;&gt;"",TODAY()-DATEVALUE(C5),0)),0)</f>
        <v>237</v>
      </c>
      <c r="O5" s="13" t="str">
        <f aca="false">IFERROR(IF(N5=0,"",IF(N5&lt;=30,"0-30 Days",IF(N5&lt;=60,"31-60 Days",IF(N5&lt;=90,"61-90 Days","90+ Days")))),"")</f>
        <v>90+ Days</v>
      </c>
      <c r="P5" s="13"/>
      <c r="Q5" s="15"/>
    </row>
    <row r="6" customFormat="false" ht="23.25" hidden="false" customHeight="true" outlineLevel="0" collapsed="false">
      <c r="A6" s="13" t="n">
        <v>5</v>
      </c>
      <c r="B6" s="14" t="s">
        <v>94</v>
      </c>
      <c r="C6" s="13" t="s">
        <v>93</v>
      </c>
      <c r="D6" s="15" t="s">
        <v>44</v>
      </c>
      <c r="E6" s="15" t="s">
        <v>95</v>
      </c>
      <c r="F6" s="15" t="s">
        <v>96</v>
      </c>
      <c r="G6" s="13" t="s">
        <v>26</v>
      </c>
      <c r="H6" s="15" t="s">
        <v>97</v>
      </c>
      <c r="I6" s="15" t="s">
        <v>98</v>
      </c>
      <c r="J6" s="15" t="s">
        <v>99</v>
      </c>
      <c r="K6" s="13" t="s">
        <v>100</v>
      </c>
      <c r="L6" s="13" t="s">
        <v>25</v>
      </c>
      <c r="M6" s="13"/>
      <c r="N6" s="16" t="n">
        <f aca="true">IFERROR(IF(L6="Closed",IF(N6&lt;&gt;"",DATEVALUE(N6)-DATEVALUE(C6),0),IF(C6&lt;&gt;"",TODAY()-DATEVALUE(C6),0)),0)</f>
        <v>220</v>
      </c>
      <c r="O6" s="13" t="str">
        <f aca="false">IFERROR(IF(N6=0,"",IF(N6&lt;=30,"0-30 Days",IF(N6&lt;=60,"31-60 Days",IF(N6&lt;=90,"61-90 Days","90+ Days")))),"")</f>
        <v>90+ Days</v>
      </c>
      <c r="P6" s="13"/>
      <c r="Q6" s="15"/>
    </row>
    <row r="7" customFormat="false" ht="23.25" hidden="false" customHeight="true" outlineLevel="0" collapsed="false">
      <c r="A7" s="13" t="n">
        <v>6</v>
      </c>
      <c r="B7" s="14" t="s">
        <v>101</v>
      </c>
      <c r="C7" s="13" t="s">
        <v>102</v>
      </c>
      <c r="D7" s="15" t="s">
        <v>45</v>
      </c>
      <c r="E7" s="15" t="s">
        <v>103</v>
      </c>
      <c r="F7" s="15" t="s">
        <v>104</v>
      </c>
      <c r="G7" s="13" t="s">
        <v>26</v>
      </c>
      <c r="H7" s="15" t="s">
        <v>105</v>
      </c>
      <c r="I7" s="15" t="s">
        <v>106</v>
      </c>
      <c r="J7" s="15" t="s">
        <v>107</v>
      </c>
      <c r="K7" s="13" t="s">
        <v>108</v>
      </c>
      <c r="L7" s="13" t="s">
        <v>25</v>
      </c>
      <c r="M7" s="13"/>
      <c r="N7" s="16" t="n">
        <f aca="true">IFERROR(IF(L7="Closed",IF(N7&lt;&gt;"",DATEVALUE(N7)-DATEVALUE(C7),0),IF(C7&lt;&gt;"",TODAY()-DATEVALUE(C7),0)),0)</f>
        <v>211</v>
      </c>
      <c r="O7" s="13" t="str">
        <f aca="false">IFERROR(IF(N7=0,"",IF(N7&lt;=30,"0-30 Days",IF(N7&lt;=60,"31-60 Days",IF(N7&lt;=90,"61-90 Days","90+ Days")))),"")</f>
        <v>90+ Days</v>
      </c>
      <c r="P7" s="13"/>
      <c r="Q7" s="15"/>
    </row>
    <row r="8" customFormat="false" ht="23.25" hidden="false" customHeight="true" outlineLevel="0" collapsed="false">
      <c r="A8" s="13" t="n">
        <v>7</v>
      </c>
      <c r="B8" s="14" t="s">
        <v>109</v>
      </c>
      <c r="C8" s="13" t="s">
        <v>100</v>
      </c>
      <c r="D8" s="15" t="s">
        <v>40</v>
      </c>
      <c r="E8" s="15" t="s">
        <v>110</v>
      </c>
      <c r="F8" s="15" t="s">
        <v>111</v>
      </c>
      <c r="G8" s="13" t="s">
        <v>34</v>
      </c>
      <c r="H8" s="15" t="s">
        <v>112</v>
      </c>
      <c r="I8" s="15" t="s">
        <v>113</v>
      </c>
      <c r="J8" s="15" t="s">
        <v>99</v>
      </c>
      <c r="K8" s="13" t="s">
        <v>114</v>
      </c>
      <c r="L8" s="13" t="s">
        <v>29</v>
      </c>
      <c r="M8" s="13"/>
      <c r="N8" s="16" t="n">
        <f aca="true">IFERROR(IF(L8="Closed",IF(N8&lt;&gt;"",DATEVALUE(N8)-DATEVALUE(C8),0),IF(C8&lt;&gt;"",TODAY()-DATEVALUE(C8),0)),0)</f>
        <v>201</v>
      </c>
      <c r="O8" s="13" t="str">
        <f aca="false">IFERROR(IF(N8=0,"",IF(N8&lt;=30,"0-30 Days",IF(N8&lt;=60,"31-60 Days",IF(N8&lt;=90,"61-90 Days","90+ Days")))),"")</f>
        <v>90+ Days</v>
      </c>
      <c r="P8" s="13"/>
      <c r="Q8" s="15"/>
    </row>
    <row r="9" customFormat="false" ht="23.25" hidden="false" customHeight="true" outlineLevel="0" collapsed="false">
      <c r="A9" s="13" t="n">
        <v>8</v>
      </c>
      <c r="B9" s="14" t="s">
        <v>115</v>
      </c>
      <c r="C9" s="13" t="s">
        <v>108</v>
      </c>
      <c r="D9" s="15" t="s">
        <v>24</v>
      </c>
      <c r="E9" s="15" t="s">
        <v>116</v>
      </c>
      <c r="F9" s="15" t="s">
        <v>117</v>
      </c>
      <c r="G9" s="13" t="s">
        <v>26</v>
      </c>
      <c r="H9" s="15" t="s">
        <v>118</v>
      </c>
      <c r="I9" s="15" t="s">
        <v>119</v>
      </c>
      <c r="J9" s="15" t="s">
        <v>67</v>
      </c>
      <c r="K9" s="13" t="s">
        <v>120</v>
      </c>
      <c r="L9" s="13" t="s">
        <v>33</v>
      </c>
      <c r="M9" s="13" t="s">
        <v>121</v>
      </c>
      <c r="N9" s="16" t="n">
        <f aca="true">IFERROR(IF(L9="Closed",IF(N9&lt;&gt;"",DATEVALUE(N9)-DATEVALUE(C9),0),IF(C9&lt;&gt;"",TODAY()-DATEVALUE(C9),0)),0)</f>
        <v>0</v>
      </c>
      <c r="O9" s="13" t="str">
        <f aca="false">IFERROR(IF(N9=0,"",IF(N9&lt;=30,"0-30 Days",IF(N9&lt;=60,"31-60 Days",IF(N9&lt;=90,"61-90 Days","90+ Days")))),"")</f>
        <v/>
      </c>
      <c r="P9" s="13" t="s">
        <v>31</v>
      </c>
      <c r="Q9" s="15"/>
    </row>
    <row r="10" customFormat="false" ht="15" hidden="false" customHeight="true" outlineLevel="0" collapsed="false">
      <c r="A10" s="13" t="n">
        <v>9</v>
      </c>
      <c r="N10" s="16" t="n">
        <f aca="true">IFERROR(IF(L10="Closed",IF(N10&lt;&gt;"",DATEVALUE(N10)-DATEVALUE(C10),0),IF(C10&lt;&gt;"",TODAY()-DATEVALUE(C10),0)),0)</f>
        <v>0</v>
      </c>
      <c r="O10" s="13" t="str">
        <f aca="false">IFERROR(IF(N10=0,"",IF(N10&lt;=30,"0-30 Days",IF(N10&lt;=60,"31-60 Days",IF(N10&lt;=90,"61-90 Days","90+ Days")))),"")</f>
        <v/>
      </c>
    </row>
    <row r="11" customFormat="false" ht="15" hidden="false" customHeight="true" outlineLevel="0" collapsed="false">
      <c r="A11" s="13" t="n">
        <v>10</v>
      </c>
      <c r="N11" s="16" t="n">
        <f aca="true">IFERROR(IF(L11="Closed",IF(N11&lt;&gt;"",DATEVALUE(N11)-DATEVALUE(C11),0),IF(C11&lt;&gt;"",TODAY()-DATEVALUE(C11),0)),0)</f>
        <v>0</v>
      </c>
      <c r="O11" s="13" t="str">
        <f aca="false">IFERROR(IF(N11=0,"",IF(N11&lt;=30,"0-30 Days",IF(N11&lt;=60,"31-60 Days",IF(N11&lt;=90,"61-90 Days","90+ Days")))),"")</f>
        <v/>
      </c>
    </row>
    <row r="12" customFormat="false" ht="15" hidden="false" customHeight="true" outlineLevel="0" collapsed="false">
      <c r="A12" s="13" t="n">
        <v>11</v>
      </c>
      <c r="N12" s="16" t="n">
        <f aca="true">IFERROR(IF(L12="Closed",IF(N12&lt;&gt;"",DATEVALUE(N12)-DATEVALUE(C12),0),IF(C12&lt;&gt;"",TODAY()-DATEVALUE(C12),0)),0)</f>
        <v>0</v>
      </c>
      <c r="O12" s="13" t="str">
        <f aca="false">IFERROR(IF(N12=0,"",IF(N12&lt;=30,"0-30 Days",IF(N12&lt;=60,"31-60 Days",IF(N12&lt;=90,"61-90 Days","90+ Days")))),"")</f>
        <v/>
      </c>
    </row>
    <row r="13" customFormat="false" ht="15" hidden="false" customHeight="true" outlineLevel="0" collapsed="false">
      <c r="A13" s="13" t="n">
        <v>12</v>
      </c>
      <c r="N13" s="16" t="n">
        <f aca="true">IFERROR(IF(L13="Closed",IF(N13&lt;&gt;"",DATEVALUE(N13)-DATEVALUE(C13),0),IF(C13&lt;&gt;"",TODAY()-DATEVALUE(C13),0)),0)</f>
        <v>0</v>
      </c>
      <c r="O13" s="13" t="str">
        <f aca="false">IFERROR(IF(N13=0,"",IF(N13&lt;=30,"0-30 Days",IF(N13&lt;=60,"31-60 Days",IF(N13&lt;=90,"61-90 Days","90+ Days")))),"")</f>
        <v/>
      </c>
    </row>
    <row r="14" customFormat="false" ht="15" hidden="false" customHeight="true" outlineLevel="0" collapsed="false">
      <c r="A14" s="13" t="n">
        <v>13</v>
      </c>
      <c r="N14" s="16" t="n">
        <f aca="true">IFERROR(IF(L14="Closed",IF(N14&lt;&gt;"",DATEVALUE(N14)-DATEVALUE(C14),0),IF(C14&lt;&gt;"",TODAY()-DATEVALUE(C14),0)),0)</f>
        <v>0</v>
      </c>
      <c r="O14" s="13" t="str">
        <f aca="false">IFERROR(IF(N14=0,"",IF(N14&lt;=30,"0-30 Days",IF(N14&lt;=60,"31-60 Days",IF(N14&lt;=90,"61-90 Days","90+ Days")))),"")</f>
        <v/>
      </c>
    </row>
    <row r="15" customFormat="false" ht="15" hidden="false" customHeight="true" outlineLevel="0" collapsed="false">
      <c r="A15" s="13" t="n">
        <v>14</v>
      </c>
      <c r="N15" s="16" t="n">
        <f aca="true">IFERROR(IF(L15="Closed",IF(N15&lt;&gt;"",DATEVALUE(N15)-DATEVALUE(C15),0),IF(C15&lt;&gt;"",TODAY()-DATEVALUE(C15),0)),0)</f>
        <v>0</v>
      </c>
      <c r="O15" s="13" t="str">
        <f aca="false">IFERROR(IF(N15=0,"",IF(N15&lt;=30,"0-30 Days",IF(N15&lt;=60,"31-60 Days",IF(N15&lt;=90,"61-90 Days","90+ Days")))),"")</f>
        <v/>
      </c>
    </row>
    <row r="16" customFormat="false" ht="15" hidden="false" customHeight="true" outlineLevel="0" collapsed="false">
      <c r="A16" s="13" t="n">
        <v>15</v>
      </c>
      <c r="N16" s="16" t="n">
        <f aca="true">IFERROR(IF(L16="Closed",IF(N16&lt;&gt;"",DATEVALUE(N16)-DATEVALUE(C16),0),IF(C16&lt;&gt;"",TODAY()-DATEVALUE(C16),0)),0)</f>
        <v>0</v>
      </c>
      <c r="O16" s="13" t="str">
        <f aca="false">IFERROR(IF(N16=0,"",IF(N16&lt;=30,"0-30 Days",IF(N16&lt;=60,"31-60 Days",IF(N16&lt;=90,"61-90 Days","90+ Days")))),"")</f>
        <v/>
      </c>
    </row>
    <row r="17" customFormat="false" ht="15" hidden="false" customHeight="true" outlineLevel="0" collapsed="false">
      <c r="A17" s="13" t="n">
        <v>16</v>
      </c>
      <c r="N17" s="16" t="n">
        <f aca="true">IFERROR(IF(L17="Closed",IF(N17&lt;&gt;"",DATEVALUE(N17)-DATEVALUE(C17),0),IF(C17&lt;&gt;"",TODAY()-DATEVALUE(C17),0)),0)</f>
        <v>0</v>
      </c>
      <c r="O17" s="13" t="str">
        <f aca="false">IFERROR(IF(N17=0,"",IF(N17&lt;=30,"0-30 Days",IF(N17&lt;=60,"31-60 Days",IF(N17&lt;=90,"61-90 Days","90+ Days")))),"")</f>
        <v/>
      </c>
    </row>
    <row r="18" customFormat="false" ht="15" hidden="false" customHeight="true" outlineLevel="0" collapsed="false">
      <c r="A18" s="13" t="n">
        <v>17</v>
      </c>
      <c r="N18" s="16" t="n">
        <f aca="true">IFERROR(IF(L18="Closed",IF(N18&lt;&gt;"",DATEVALUE(N18)-DATEVALUE(C18),0),IF(C18&lt;&gt;"",TODAY()-DATEVALUE(C18),0)),0)</f>
        <v>0</v>
      </c>
      <c r="O18" s="13" t="str">
        <f aca="false">IFERROR(IF(N18=0,"",IF(N18&lt;=30,"0-30 Days",IF(N18&lt;=60,"31-60 Days",IF(N18&lt;=90,"61-90 Days","90+ Days")))),"")</f>
        <v/>
      </c>
    </row>
    <row r="19" customFormat="false" ht="15" hidden="false" customHeight="true" outlineLevel="0" collapsed="false">
      <c r="A19" s="13" t="n">
        <v>18</v>
      </c>
      <c r="N19" s="16" t="n">
        <f aca="true">IFERROR(IF(L19="Closed",IF(N19&lt;&gt;"",DATEVALUE(N19)-DATEVALUE(C19),0),IF(C19&lt;&gt;"",TODAY()-DATEVALUE(C19),0)),0)</f>
        <v>0</v>
      </c>
      <c r="O19" s="13" t="str">
        <f aca="false">IFERROR(IF(N19=0,"",IF(N19&lt;=30,"0-30 Days",IF(N19&lt;=60,"31-60 Days",IF(N19&lt;=90,"61-90 Days","90+ Days")))),"")</f>
        <v/>
      </c>
    </row>
    <row r="20" customFormat="false" ht="15" hidden="false" customHeight="true" outlineLevel="0" collapsed="false">
      <c r="A20" s="13" t="n">
        <v>19</v>
      </c>
      <c r="N20" s="16" t="n">
        <f aca="true">IFERROR(IF(L20="Closed",IF(N20&lt;&gt;"",DATEVALUE(N20)-DATEVALUE(C20),0),IF(C20&lt;&gt;"",TODAY()-DATEVALUE(C20),0)),0)</f>
        <v>0</v>
      </c>
      <c r="O20" s="13" t="str">
        <f aca="false">IFERROR(IF(N20=0,"",IF(N20&lt;=30,"0-30 Days",IF(N20&lt;=60,"31-60 Days",IF(N20&lt;=90,"61-90 Days","90+ Days")))),"")</f>
        <v/>
      </c>
    </row>
    <row r="21" customFormat="false" ht="15" hidden="false" customHeight="true" outlineLevel="0" collapsed="false">
      <c r="A21" s="13" t="n">
        <v>20</v>
      </c>
      <c r="N21" s="16" t="n">
        <f aca="true">IFERROR(IF(L21="Closed",IF(N21&lt;&gt;"",DATEVALUE(N21)-DATEVALUE(C21),0),IF(C21&lt;&gt;"",TODAY()-DATEVALUE(C21),0)),0)</f>
        <v>0</v>
      </c>
      <c r="O21" s="13" t="str">
        <f aca="false">IFERROR(IF(N21=0,"",IF(N21&lt;=30,"0-30 Days",IF(N21&lt;=60,"31-60 Days",IF(N21&lt;=90,"61-90 Days","90+ Days")))),"")</f>
        <v/>
      </c>
    </row>
    <row r="22" customFormat="false" ht="15" hidden="false" customHeight="true" outlineLevel="0" collapsed="false">
      <c r="A22" s="13" t="n">
        <v>21</v>
      </c>
      <c r="N22" s="16" t="n">
        <f aca="true">IFERROR(IF(L22="Closed",IF(N22&lt;&gt;"",DATEVALUE(N22)-DATEVALUE(C22),0),IF(C22&lt;&gt;"",TODAY()-DATEVALUE(C22),0)),0)</f>
        <v>0</v>
      </c>
      <c r="O22" s="13" t="str">
        <f aca="false">IFERROR(IF(N22=0,"",IF(N22&lt;=30,"0-30 Days",IF(N22&lt;=60,"31-60 Days",IF(N22&lt;=90,"61-90 Days","90+ Days")))),"")</f>
        <v/>
      </c>
    </row>
    <row r="23" customFormat="false" ht="15" hidden="false" customHeight="true" outlineLevel="0" collapsed="false">
      <c r="A23" s="13" t="n">
        <v>22</v>
      </c>
      <c r="N23" s="16" t="n">
        <f aca="true">IFERROR(IF(L23="Closed",IF(N23&lt;&gt;"",DATEVALUE(N23)-DATEVALUE(C23),0),IF(C23&lt;&gt;"",TODAY()-DATEVALUE(C23),0)),0)</f>
        <v>0</v>
      </c>
      <c r="O23" s="13" t="str">
        <f aca="false">IFERROR(IF(N23=0,"",IF(N23&lt;=30,"0-30 Days",IF(N23&lt;=60,"31-60 Days",IF(N23&lt;=90,"61-90 Days","90+ Days")))),"")</f>
        <v/>
      </c>
    </row>
    <row r="24" customFormat="false" ht="15" hidden="false" customHeight="true" outlineLevel="0" collapsed="false">
      <c r="A24" s="13" t="n">
        <v>23</v>
      </c>
      <c r="N24" s="16" t="n">
        <f aca="true">IFERROR(IF(L24="Closed",IF(N24&lt;&gt;"",DATEVALUE(N24)-DATEVALUE(C24),0),IF(C24&lt;&gt;"",TODAY()-DATEVALUE(C24),0)),0)</f>
        <v>0</v>
      </c>
      <c r="O24" s="13" t="str">
        <f aca="false">IFERROR(IF(N24=0,"",IF(N24&lt;=30,"0-30 Days",IF(N24&lt;=60,"31-60 Days",IF(N24&lt;=90,"61-90 Days","90+ Days")))),"")</f>
        <v/>
      </c>
    </row>
    <row r="25" customFormat="false" ht="15" hidden="false" customHeight="true" outlineLevel="0" collapsed="false">
      <c r="A25" s="13" t="n">
        <v>24</v>
      </c>
      <c r="N25" s="16" t="n">
        <f aca="true">IFERROR(IF(L25="Closed",IF(N25&lt;&gt;"",DATEVALUE(N25)-DATEVALUE(C25),0),IF(C25&lt;&gt;"",TODAY()-DATEVALUE(C25),0)),0)</f>
        <v>0</v>
      </c>
      <c r="O25" s="13" t="str">
        <f aca="false">IFERROR(IF(N25=0,"",IF(N25&lt;=30,"0-30 Days",IF(N25&lt;=60,"31-60 Days",IF(N25&lt;=90,"61-90 Days","90+ Days")))),"")</f>
        <v/>
      </c>
    </row>
    <row r="26" customFormat="false" ht="15" hidden="false" customHeight="true" outlineLevel="0" collapsed="false">
      <c r="A26" s="13" t="n">
        <v>25</v>
      </c>
      <c r="N26" s="16" t="n">
        <f aca="true">IFERROR(IF(L26="Closed",IF(N26&lt;&gt;"",DATEVALUE(N26)-DATEVALUE(C26),0),IF(C26&lt;&gt;"",TODAY()-DATEVALUE(C26),0)),0)</f>
        <v>0</v>
      </c>
      <c r="O26" s="13" t="str">
        <f aca="false">IFERROR(IF(N26=0,"",IF(N26&lt;=30,"0-30 Days",IF(N26&lt;=60,"31-60 Days",IF(N26&lt;=90,"61-90 Days","90+ Days")))),"")</f>
        <v/>
      </c>
    </row>
    <row r="27" customFormat="false" ht="15" hidden="false" customHeight="true" outlineLevel="0" collapsed="false">
      <c r="A27" s="13" t="n">
        <v>26</v>
      </c>
      <c r="N27" s="16" t="n">
        <f aca="true">IFERROR(IF(L27="Closed",IF(N27&lt;&gt;"",DATEVALUE(N27)-DATEVALUE(C27),0),IF(C27&lt;&gt;"",TODAY()-DATEVALUE(C27),0)),0)</f>
        <v>0</v>
      </c>
      <c r="O27" s="13" t="str">
        <f aca="false">IFERROR(IF(N27=0,"",IF(N27&lt;=30,"0-30 Days",IF(N27&lt;=60,"31-60 Days",IF(N27&lt;=90,"61-90 Days","90+ Days")))),"")</f>
        <v/>
      </c>
    </row>
    <row r="28" customFormat="false" ht="15" hidden="false" customHeight="true" outlineLevel="0" collapsed="false">
      <c r="A28" s="13" t="n">
        <v>27</v>
      </c>
      <c r="N28" s="16" t="n">
        <f aca="true">IFERROR(IF(L28="Closed",IF(N28&lt;&gt;"",DATEVALUE(N28)-DATEVALUE(C28),0),IF(C28&lt;&gt;"",TODAY()-DATEVALUE(C28),0)),0)</f>
        <v>0</v>
      </c>
      <c r="O28" s="13" t="str">
        <f aca="false">IFERROR(IF(N28=0,"",IF(N28&lt;=30,"0-30 Days",IF(N28&lt;=60,"31-60 Days",IF(N28&lt;=90,"61-90 Days","90+ Days")))),"")</f>
        <v/>
      </c>
    </row>
    <row r="29" customFormat="false" ht="15" hidden="false" customHeight="true" outlineLevel="0" collapsed="false">
      <c r="A29" s="13" t="n">
        <v>28</v>
      </c>
      <c r="N29" s="16" t="n">
        <f aca="true">IFERROR(IF(L29="Closed",IF(N29&lt;&gt;"",DATEVALUE(N29)-DATEVALUE(C29),0),IF(C29&lt;&gt;"",TODAY()-DATEVALUE(C29),0)),0)</f>
        <v>0</v>
      </c>
      <c r="O29" s="13" t="str">
        <f aca="false">IFERROR(IF(N29=0,"",IF(N29&lt;=30,"0-30 Days",IF(N29&lt;=60,"31-60 Days",IF(N29&lt;=90,"61-90 Days","90+ Days")))),"")</f>
        <v/>
      </c>
    </row>
    <row r="30" customFormat="false" ht="15" hidden="false" customHeight="true" outlineLevel="0" collapsed="false">
      <c r="A30" s="13" t="n">
        <v>29</v>
      </c>
      <c r="N30" s="16" t="n">
        <f aca="true">IFERROR(IF(L30="Closed",IF(N30&lt;&gt;"",DATEVALUE(N30)-DATEVALUE(C30),0),IF(C30&lt;&gt;"",TODAY()-DATEVALUE(C30),0)),0)</f>
        <v>0</v>
      </c>
      <c r="O30" s="13" t="str">
        <f aca="false">IFERROR(IF(N30=0,"",IF(N30&lt;=30,"0-30 Days",IF(N30&lt;=60,"31-60 Days",IF(N30&lt;=90,"61-90 Days","90+ Days")))),"")</f>
        <v/>
      </c>
    </row>
    <row r="31" customFormat="false" ht="15" hidden="false" customHeight="true" outlineLevel="0" collapsed="false">
      <c r="A31" s="13" t="n">
        <v>30</v>
      </c>
      <c r="N31" s="16" t="n">
        <f aca="true">IFERROR(IF(L31="Closed",IF(N31&lt;&gt;"",DATEVALUE(N31)-DATEVALUE(C31),0),IF(C31&lt;&gt;"",TODAY()-DATEVALUE(C31),0)),0)</f>
        <v>0</v>
      </c>
      <c r="O31" s="13" t="str">
        <f aca="false">IFERROR(IF(N31=0,"",IF(N31&lt;=30,"0-30 Days",IF(N31&lt;=60,"31-60 Days",IF(N31&lt;=90,"61-90 Days","90+ Days")))),"")</f>
        <v/>
      </c>
    </row>
    <row r="32" customFormat="false" ht="15" hidden="false" customHeight="true" outlineLevel="0" collapsed="false">
      <c r="A32" s="13" t="n">
        <v>31</v>
      </c>
      <c r="N32" s="16" t="n">
        <f aca="true">IF(L32="Closed",IF(N32&lt;&gt;"",DATEVALUE(N32)-DATEVALUE(C32),0),IF(C32&lt;&gt;"",TODAY()-DATEVALUE(C32),0))</f>
        <v>0</v>
      </c>
      <c r="O32" s="13" t="str">
        <f aca="false">IF(N32=0,"",IF(N32&lt;=30,"0-30 Days",IF(N32&lt;=60,"31-60 Days",IF(N32&lt;=90,"61-90 Days","90+ Days"))))</f>
        <v/>
      </c>
    </row>
    <row r="33" customFormat="false" ht="15" hidden="false" customHeight="true" outlineLevel="0" collapsed="false">
      <c r="A33" s="13" t="n">
        <v>32</v>
      </c>
      <c r="N33" s="16" t="n">
        <f aca="true">IF(L33="Closed",IF(N33&lt;&gt;"",DATEVALUE(N33)-DATEVALUE(C33),0),IF(C33&lt;&gt;"",TODAY()-DATEVALUE(C33),0))</f>
        <v>0</v>
      </c>
      <c r="O33" s="13" t="str">
        <f aca="false">IF(N33=0,"",IF(N33&lt;=30,"0-30 Days",IF(N33&lt;=60,"31-60 Days",IF(N33&lt;=90,"61-90 Days","90+ Days"))))</f>
        <v/>
      </c>
    </row>
    <row r="34" customFormat="false" ht="15" hidden="false" customHeight="true" outlineLevel="0" collapsed="false">
      <c r="A34" s="13" t="n">
        <v>33</v>
      </c>
      <c r="N34" s="16" t="n">
        <f aca="true">IF(L34="Closed",IF(N34&lt;&gt;"",DATEVALUE(N34)-DATEVALUE(C34),0),IF(C34&lt;&gt;"",TODAY()-DATEVALUE(C34),0))</f>
        <v>0</v>
      </c>
      <c r="O34" s="13" t="str">
        <f aca="false">IF(N34=0,"",IF(N34&lt;=30,"0-30 Days",IF(N34&lt;=60,"31-60 Days",IF(N34&lt;=90,"61-90 Days","90+ Days"))))</f>
        <v/>
      </c>
    </row>
    <row r="35" customFormat="false" ht="15" hidden="false" customHeight="true" outlineLevel="0" collapsed="false">
      <c r="A35" s="13" t="n">
        <v>34</v>
      </c>
      <c r="N35" s="16" t="n">
        <f aca="true">IF(L35="Closed",IF(N35&lt;&gt;"",DATEVALUE(N35)-DATEVALUE(C35),0),IF(C35&lt;&gt;"",TODAY()-DATEVALUE(C35),0))</f>
        <v>0</v>
      </c>
      <c r="O35" s="13" t="str">
        <f aca="false">IF(N35=0,"",IF(N35&lt;=30,"0-30 Days",IF(N35&lt;=60,"31-60 Days",IF(N35&lt;=90,"61-90 Days","90+ Days"))))</f>
        <v/>
      </c>
    </row>
    <row r="36" customFormat="false" ht="15" hidden="false" customHeight="true" outlineLevel="0" collapsed="false">
      <c r="A36" s="13" t="n">
        <v>35</v>
      </c>
      <c r="N36" s="16" t="n">
        <f aca="true">IF(L36="Closed",IF(N36&lt;&gt;"",DATEVALUE(N36)-DATEVALUE(C36),0),IF(C36&lt;&gt;"",TODAY()-DATEVALUE(C36),0))</f>
        <v>0</v>
      </c>
      <c r="O36" s="13" t="str">
        <f aca="false">IF(N36=0,"",IF(N36&lt;=30,"0-30 Days",IF(N36&lt;=60,"31-60 Days",IF(N36&lt;=90,"61-90 Days","90+ Days"))))</f>
        <v/>
      </c>
    </row>
    <row r="37" customFormat="false" ht="15" hidden="false" customHeight="true" outlineLevel="0" collapsed="false">
      <c r="A37" s="13" t="n">
        <v>36</v>
      </c>
      <c r="N37" s="16" t="n">
        <f aca="true">IF(L37="Closed",IF(N37&lt;&gt;"",DATEVALUE(N37)-DATEVALUE(C37),0),IF(C37&lt;&gt;"",TODAY()-DATEVALUE(C37),0))</f>
        <v>0</v>
      </c>
      <c r="O37" s="13" t="str">
        <f aca="false">IF(N37=0,"",IF(N37&lt;=30,"0-30 Days",IF(N37&lt;=60,"31-60 Days",IF(N37&lt;=90,"61-90 Days","90+ Days"))))</f>
        <v/>
      </c>
    </row>
    <row r="38" customFormat="false" ht="15" hidden="false" customHeight="true" outlineLevel="0" collapsed="false">
      <c r="A38" s="13" t="n">
        <v>37</v>
      </c>
      <c r="N38" s="16" t="n">
        <f aca="true">IF(L38="Closed",IF(N38&lt;&gt;"",DATEVALUE(N38)-DATEVALUE(C38),0),IF(C38&lt;&gt;"",TODAY()-DATEVALUE(C38),0))</f>
        <v>0</v>
      </c>
      <c r="O38" s="13" t="str">
        <f aca="false">IF(N38=0,"",IF(N38&lt;=30,"0-30 Days",IF(N38&lt;=60,"31-60 Days",IF(N38&lt;=90,"61-90 Days","90+ Days"))))</f>
        <v/>
      </c>
    </row>
    <row r="39" customFormat="false" ht="15" hidden="false" customHeight="true" outlineLevel="0" collapsed="false">
      <c r="A39" s="13" t="n">
        <v>38</v>
      </c>
      <c r="N39" s="16" t="n">
        <f aca="true">IF(L39="Closed",IF(N39&lt;&gt;"",DATEVALUE(N39)-DATEVALUE(C39),0),IF(C39&lt;&gt;"",TODAY()-DATEVALUE(C39),0))</f>
        <v>0</v>
      </c>
      <c r="O39" s="13" t="str">
        <f aca="false">IF(N39=0,"",IF(N39&lt;=30,"0-30 Days",IF(N39&lt;=60,"31-60 Days",IF(N39&lt;=90,"61-90 Days","90+ Days"))))</f>
        <v/>
      </c>
    </row>
  </sheetData>
  <autoFilter ref="A1:Q39"/>
  <conditionalFormatting sqref="N2:N39">
    <cfRule type="cellIs" priority="2" operator="greaterThan" aboveAverage="0" equalAverage="0" bottom="0" percent="0" rank="0" text="" dxfId="8">
      <formula>30</formula>
    </cfRule>
    <cfRule type="cellIs" priority="3" operator="between" aboveAverage="0" equalAverage="0" bottom="0" percent="0" rank="0" text="" dxfId="9">
      <formula>15</formula>
      <formula>30</formula>
    </cfRule>
  </conditionalFormatting>
  <conditionalFormatting sqref="L2:L39">
    <cfRule type="cellIs" priority="4" operator="equal" aboveAverage="0" equalAverage="0" bottom="0" percent="0" rank="0" text="" dxfId="8">
      <formula>"Overdue"</formula>
    </cfRule>
    <cfRule type="cellIs" priority="5" operator="equal" aboveAverage="0" equalAverage="0" bottom="0" percent="0" rank="0" text="" dxfId="9">
      <formula>"Open"</formula>
    </cfRule>
  </conditionalFormatting>
  <dataValidations count="4">
    <dataValidation allowBlank="true" errorStyle="stop" operator="between" showDropDown="false" showErrorMessage="false" showInputMessage="false" sqref="D2:D39" type="list">
      <formula1>"Audit Finding,Incident,Complaint,External Assessment,Internal Review,QC Failure,Safety Event"</formula1>
      <formula2>0</formula2>
    </dataValidation>
    <dataValidation allowBlank="true" errorStyle="stop" operator="between" showDropDown="false" showErrorMessage="false" showInputMessage="false" sqref="L2:L39" type="list">
      <formula1>"Open,In Progress,Closed,Overdue,Cancelled"</formula1>
      <formula2>0</formula2>
    </dataValidation>
    <dataValidation allowBlank="true" errorStyle="stop" operator="between" showDropDown="false" showErrorMessage="false" showInputMessage="false" sqref="G2:G39" type="list">
      <formula1>"5 Whys,Fishbone,FMEA,Root Cause Analysis,Process Mapping"</formula1>
      <formula2>0</formula2>
    </dataValidation>
    <dataValidation allowBlank="true" errorStyle="stop" operator="between" showDropDown="false" showErrorMessage="false" showInputMessage="false" sqref="P2:P39" type="list">
      <formula1>"Effective,Partially Effective,Not Effective,Monitoring,Not Yet Assessed"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12" min="2" style="1" width="14"/>
  </cols>
  <sheetData>
    <row r="2" customFormat="false" ht="31.5" hidden="false" customHeight="true" outlineLevel="0" collapsed="false">
      <c r="B2" s="17" t="s">
        <v>122</v>
      </c>
      <c r="C2" s="17"/>
      <c r="D2" s="17"/>
      <c r="E2" s="17"/>
      <c r="F2" s="17"/>
      <c r="G2" s="17"/>
      <c r="H2" s="17"/>
      <c r="I2" s="17"/>
      <c r="J2" s="17"/>
      <c r="K2" s="17"/>
      <c r="L2" s="17"/>
    </row>
    <row r="4" customFormat="false" ht="21.75" hidden="false" customHeight="true" outlineLevel="0" collapsed="false">
      <c r="B4" s="18" t="s">
        <v>123</v>
      </c>
      <c r="C4" s="18"/>
      <c r="D4" s="18" t="s">
        <v>25</v>
      </c>
      <c r="E4" s="18"/>
      <c r="F4" s="18" t="s">
        <v>29</v>
      </c>
      <c r="G4" s="18"/>
      <c r="H4" s="18" t="s">
        <v>33</v>
      </c>
      <c r="I4" s="18"/>
      <c r="J4" s="18" t="s">
        <v>124</v>
      </c>
      <c r="K4" s="18"/>
    </row>
    <row r="5" customFormat="false" ht="19.5" hidden="false" customHeight="true" outlineLevel="0" collapsed="false">
      <c r="B5" s="19" t="n">
        <f aca="false">COUNTA('CAPA Register'!B2:B39)</f>
        <v>8</v>
      </c>
      <c r="C5" s="19"/>
      <c r="D5" s="19" t="n">
        <f aca="false">COUNTIF('CAPA Register'!L2:L39,"Open")</f>
        <v>3</v>
      </c>
      <c r="E5" s="19"/>
      <c r="F5" s="19" t="n">
        <f aca="false">COUNTIF('CAPA Register'!L2:L39,"In Progress")</f>
        <v>3</v>
      </c>
      <c r="G5" s="19"/>
      <c r="H5" s="19" t="n">
        <f aca="false">COUNTIF('CAPA Register'!L2:L39,"Closed")</f>
        <v>2</v>
      </c>
      <c r="I5" s="19"/>
      <c r="J5" s="19" t="n">
        <f aca="false">IFERROR(COUNTIF('CAPA Register'!L2:L39,"Closed")/(COUNTA('CAPA Register'!B2:B39))*100,0)</f>
        <v>25</v>
      </c>
      <c r="K5" s="19"/>
    </row>
    <row r="6" customFormat="false" ht="19.5" hidden="false" customHeight="true" outlineLevel="0" collapsed="false">
      <c r="B6" s="19"/>
      <c r="C6" s="19"/>
      <c r="D6" s="19"/>
      <c r="E6" s="19"/>
      <c r="F6" s="19"/>
      <c r="G6" s="19"/>
      <c r="H6" s="19"/>
      <c r="I6" s="19"/>
      <c r="J6" s="19"/>
      <c r="K6" s="19"/>
    </row>
    <row r="9" customFormat="false" ht="24" hidden="false" customHeight="true" outlineLevel="0" collapsed="false">
      <c r="B9" s="20" t="s">
        <v>125</v>
      </c>
      <c r="C9" s="20"/>
      <c r="D9" s="20"/>
      <c r="E9" s="20"/>
      <c r="F9" s="20"/>
      <c r="G9" s="20"/>
    </row>
    <row r="10" customFormat="false" ht="15" hidden="false" customHeight="true" outlineLevel="0" collapsed="false">
      <c r="B10" s="12" t="s">
        <v>21</v>
      </c>
      <c r="C10" s="12" t="s">
        <v>126</v>
      </c>
    </row>
    <row r="11" customFormat="false" ht="15" hidden="false" customHeight="true" outlineLevel="0" collapsed="false">
      <c r="B11" s="15" t="s">
        <v>25</v>
      </c>
      <c r="C11" s="14" t="n">
        <f aca="false">COUNTIF('CAPA Register'!L2:L39,"Open")</f>
        <v>3</v>
      </c>
    </row>
    <row r="12" customFormat="false" ht="15" hidden="false" customHeight="true" outlineLevel="0" collapsed="false">
      <c r="B12" s="15" t="s">
        <v>29</v>
      </c>
      <c r="C12" s="14" t="n">
        <f aca="false">COUNTIF('CAPA Register'!L2:L39,"In Progress")</f>
        <v>3</v>
      </c>
    </row>
    <row r="13" customFormat="false" ht="15" hidden="false" customHeight="true" outlineLevel="0" collapsed="false">
      <c r="B13" s="15" t="s">
        <v>33</v>
      </c>
      <c r="C13" s="14" t="n">
        <f aca="false">COUNTIF('CAPA Register'!L2:L39,"Closed")</f>
        <v>2</v>
      </c>
    </row>
    <row r="14" customFormat="false" ht="15" hidden="false" customHeight="true" outlineLevel="0" collapsed="false">
      <c r="B14" s="15" t="s">
        <v>37</v>
      </c>
      <c r="C14" s="14" t="n">
        <f aca="false">COUNTIF('CAPA Register'!L2:L39,"Overdue")</f>
        <v>0</v>
      </c>
    </row>
    <row r="15" customFormat="false" ht="15" hidden="false" customHeight="true" outlineLevel="0" collapsed="false">
      <c r="B15" s="15" t="s">
        <v>41</v>
      </c>
      <c r="C15" s="14" t="n">
        <f aca="false">COUNTIF('CAPA Register'!L2:L39,"Cancelled")</f>
        <v>0</v>
      </c>
    </row>
    <row r="22" customFormat="false" ht="24" hidden="false" customHeight="true" outlineLevel="0" collapsed="false">
      <c r="B22" s="20" t="s">
        <v>127</v>
      </c>
      <c r="C22" s="20"/>
      <c r="D22" s="20"/>
      <c r="E22" s="20"/>
      <c r="F22" s="20"/>
      <c r="G22" s="20"/>
    </row>
    <row r="23" customFormat="false" ht="15" hidden="false" customHeight="true" outlineLevel="0" collapsed="false">
      <c r="B23" s="12" t="s">
        <v>49</v>
      </c>
      <c r="C23" s="12" t="s">
        <v>126</v>
      </c>
    </row>
    <row r="24" customFormat="false" ht="15" hidden="false" customHeight="true" outlineLevel="0" collapsed="false">
      <c r="B24" s="15" t="s">
        <v>24</v>
      </c>
      <c r="C24" s="14" t="n">
        <f aca="false">COUNTIF('CAPA Register'!D2:D39,"Audit Finding")</f>
        <v>2</v>
      </c>
    </row>
    <row r="25" customFormat="false" ht="15" hidden="false" customHeight="true" outlineLevel="0" collapsed="false">
      <c r="B25" s="15" t="s">
        <v>28</v>
      </c>
      <c r="C25" s="14" t="n">
        <f aca="false">COUNTIF('CAPA Register'!D2:D39,"Incident")</f>
        <v>1</v>
      </c>
    </row>
    <row r="26" customFormat="false" ht="15" hidden="false" customHeight="true" outlineLevel="0" collapsed="false">
      <c r="B26" s="15" t="s">
        <v>32</v>
      </c>
      <c r="C26" s="14" t="n">
        <f aca="false">COUNTIF('CAPA Register'!D2:D39,"Complaint")</f>
        <v>1</v>
      </c>
    </row>
    <row r="27" customFormat="false" ht="23.25" hidden="false" customHeight="true" outlineLevel="0" collapsed="false">
      <c r="B27" s="15" t="s">
        <v>36</v>
      </c>
      <c r="C27" s="14" t="n">
        <f aca="false">COUNTIF('CAPA Register'!D2:D39,"External Assessment")</f>
        <v>1</v>
      </c>
    </row>
    <row r="28" customFormat="false" ht="15" hidden="false" customHeight="true" outlineLevel="0" collapsed="false">
      <c r="B28" s="15" t="s">
        <v>40</v>
      </c>
      <c r="C28" s="14" t="n">
        <f aca="false">COUNTIF('CAPA Register'!D2:D39,"Internal Review")</f>
        <v>1</v>
      </c>
    </row>
    <row r="29" customFormat="false" ht="15" hidden="false" customHeight="true" outlineLevel="0" collapsed="false">
      <c r="B29" s="15" t="s">
        <v>44</v>
      </c>
      <c r="C29" s="14" t="n">
        <f aca="false">COUNTIF('CAPA Register'!D2:D39,"QC Failure")</f>
        <v>1</v>
      </c>
    </row>
    <row r="30" customFormat="false" ht="15" hidden="false" customHeight="true" outlineLevel="0" collapsed="false">
      <c r="B30" s="15" t="s">
        <v>45</v>
      </c>
      <c r="C30" s="14" t="n">
        <f aca="false">COUNTIF('CAPA Register'!D2:D39,"Safety Event")</f>
        <v>1</v>
      </c>
    </row>
    <row r="35" customFormat="false" ht="24" hidden="false" customHeight="true" outlineLevel="0" collapsed="false">
      <c r="B35" s="20" t="s">
        <v>128</v>
      </c>
      <c r="C35" s="20"/>
      <c r="D35" s="20"/>
      <c r="E35" s="20"/>
      <c r="F35" s="20"/>
      <c r="G35" s="20"/>
    </row>
    <row r="36" customFormat="false" ht="15" hidden="false" customHeight="true" outlineLevel="0" collapsed="false">
      <c r="B36" s="12" t="s">
        <v>129</v>
      </c>
      <c r="C36" s="12" t="s">
        <v>126</v>
      </c>
    </row>
    <row r="37" customFormat="false" ht="15" hidden="false" customHeight="true" outlineLevel="0" collapsed="false">
      <c r="B37" s="15" t="s">
        <v>130</v>
      </c>
      <c r="C37" s="14" t="n">
        <f aca="false">COUNTIF('CAPA Register'!O2:O39,"0-30 Days")</f>
        <v>0</v>
      </c>
    </row>
    <row r="38" customFormat="false" ht="15" hidden="false" customHeight="true" outlineLevel="0" collapsed="false">
      <c r="B38" s="15" t="s">
        <v>131</v>
      </c>
      <c r="C38" s="14" t="n">
        <f aca="false">COUNTIF('CAPA Register'!O2:O39,"31-60 Days")</f>
        <v>0</v>
      </c>
    </row>
    <row r="39" customFormat="false" ht="15" hidden="false" customHeight="true" outlineLevel="0" collapsed="false">
      <c r="B39" s="15" t="s">
        <v>132</v>
      </c>
      <c r="C39" s="14" t="n">
        <f aca="false">COUNTIF('CAPA Register'!O2:O39,"61-90 Days")</f>
        <v>0</v>
      </c>
    </row>
    <row r="40" customFormat="false" ht="15" hidden="false" customHeight="true" outlineLevel="0" collapsed="false">
      <c r="B40" s="15" t="s">
        <v>133</v>
      </c>
      <c r="C40" s="14" t="n">
        <f aca="false">COUNTIF('CAPA Register'!O2:O39,"90+ Days")</f>
        <v>6</v>
      </c>
    </row>
  </sheetData>
  <mergeCells count="14">
    <mergeCell ref="B2:L2"/>
    <mergeCell ref="B4:C4"/>
    <mergeCell ref="D4:E4"/>
    <mergeCell ref="F4:G4"/>
    <mergeCell ref="H4:I4"/>
    <mergeCell ref="J4:K4"/>
    <mergeCell ref="B5:C6"/>
    <mergeCell ref="D5:E6"/>
    <mergeCell ref="F5:G6"/>
    <mergeCell ref="H5:I6"/>
    <mergeCell ref="J5:K6"/>
    <mergeCell ref="B9:G9"/>
    <mergeCell ref="B22:G22"/>
    <mergeCell ref="B35:G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2026-10-07T15:54:23Z</dcterms:created>
  <dc:creator>openpyxl</dc:creator>
  <dc:description/>
  <dc:language>en-US</dc:language>
  <cp:lastModifiedBy/>
  <dcterms:modified xsi:type="dcterms:W3CDTF">2026-10-07T15:54:56Z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