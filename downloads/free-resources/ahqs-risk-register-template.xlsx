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ettings" sheetId="2" state="hidden" r:id="rId4"/>
    <sheet name="Risk Register" sheetId="3" state="visible" r:id="rId5"/>
    <sheet name="Risk Matrix" sheetId="4" state="visible" r:id="rId6"/>
    <sheet name="Dashboard" sheetId="5" state="visible" r:id="rId7"/>
  </sheets>
  <definedNames>
    <definedName function="false" hidden="true" localSheetId="2" name="_xlnm._FilterDatabase" vbProcedure="false">'Risk Register'!$A$1:$R$41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<sst xmlns="http://schemas.openxmlformats.org/spreadsheetml/2006/main" count="159" uniqueCount="126">
  <si>
    <t xml:space="preserve">Risk Register Template</t>
  </si>
  <si>
    <t xml:space="preserve">AHQS — Accelerate Healthcare Quality Solutions</t>
  </si>
  <si>
    <t xml:space="preserve">A comprehensive risk management tool with inherent and residual risk scoring, 5x5 matrix heatmap, mitigation tracking, and a visual dashboard.</t>
  </si>
  <si>
    <t xml:space="preserve">Key Features</t>
  </si>
  <si>
    <t xml:space="preserve">  •  Inherent and residual risk scoring (likelihood x severity)</t>
  </si>
  <si>
    <t xml:space="preserve">  •  5x5 risk matrix with color-coded heatmap</t>
  </si>
  <si>
    <t xml:space="preserve">  •  Risk category breakdown with counts</t>
  </si>
  <si>
    <t xml:space="preserve">  •  Mitigation action tracking with owners and deadlines</t>
  </si>
  <si>
    <t xml:space="preserve">  •  Top risks dashboard with charts</t>
  </si>
  <si>
    <t xml:space="preserve">  •  Auto-calculated risk reduction (delta)</t>
  </si>
  <si>
    <t xml:space="preserve">How to Use</t>
  </si>
  <si>
    <t xml:space="preserve">1.  Start with the Data Entry sheet — fill in yellow-shaded input cells only</t>
  </si>
  <si>
    <t xml:space="preserve">2.  Blue-shaded cells contain formulas — do not overwrite them</t>
  </si>
  <si>
    <t xml:space="preserve">3.  Use dropdown menus for standardized entries</t>
  </si>
  <si>
    <t xml:space="preserve">4.  Check the Dashboard sheet for auto-calculated metrics and charts</t>
  </si>
  <si>
    <t xml:space="preserve">5.  Save a copy for each audit cycle or reporting period</t>
  </si>
  <si>
    <t xml:space="preserve">6.  This tool is free to use for internal quality improvement</t>
  </si>
  <si>
    <t xml:space="preserve">Disclaimer &amp; License</t>
  </si>
  <si>
    <t xml:space="preserve">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</si>
  <si>
    <t xml:space="preserve">Tool ID: AHQS-RSK-002  |  Version: 2.0  |  Created: October 2026  |  AHQS Healthcare Quality Solutions</t>
  </si>
  <si>
    <t xml:space="preserve">Categories</t>
  </si>
  <si>
    <t xml:space="preserve">Risk_Levels</t>
  </si>
  <si>
    <t xml:space="preserve">Status</t>
  </si>
  <si>
    <t xml:space="preserve">Owners</t>
  </si>
  <si>
    <t xml:space="preserve">Clinical</t>
  </si>
  <si>
    <t xml:space="preserve">Low</t>
  </si>
  <si>
    <t xml:space="preserve">Open</t>
  </si>
  <si>
    <t xml:space="preserve">Lab Manager</t>
  </si>
  <si>
    <t xml:space="preserve">Operational</t>
  </si>
  <si>
    <t xml:space="preserve">Medium</t>
  </si>
  <si>
    <t xml:space="preserve">Mitigated</t>
  </si>
  <si>
    <t xml:space="preserve">Quality Manager</t>
  </si>
  <si>
    <t xml:space="preserve">Financial</t>
  </si>
  <si>
    <t xml:space="preserve">High</t>
  </si>
  <si>
    <t xml:space="preserve">Closed</t>
  </si>
  <si>
    <t xml:space="preserve">Medical Director</t>
  </si>
  <si>
    <t xml:space="preserve">Compliance</t>
  </si>
  <si>
    <t xml:space="preserve">Critical</t>
  </si>
  <si>
    <t xml:space="preserve">Monitoring</t>
  </si>
  <si>
    <t xml:space="preserve">Safety Officer</t>
  </si>
  <si>
    <t xml:space="preserve">Safety</t>
  </si>
  <si>
    <t xml:space="preserve">Escalated</t>
  </si>
  <si>
    <t xml:space="preserve">IT Manager</t>
  </si>
  <si>
    <t xml:space="preserve">Equipment</t>
  </si>
  <si>
    <t xml:space="preserve">HR Manager</t>
  </si>
  <si>
    <t xml:space="preserve">IT/Data</t>
  </si>
  <si>
    <t xml:space="preserve">Personnel</t>
  </si>
  <si>
    <t xml:space="preserve">Facility</t>
  </si>
  <si>
    <t xml:space="preserve">#</t>
  </si>
  <si>
    <t xml:space="preserve">Risk ID</t>
  </si>
  <si>
    <t xml:space="preserve">Date</t>
  </si>
  <si>
    <t xml:space="preserve">Category</t>
  </si>
  <si>
    <t xml:space="preserve">Risk Description</t>
  </si>
  <si>
    <t xml:space="preserve">Likelihood (1-5)</t>
  </si>
  <si>
    <t xml:space="preserve">Severity (1-5)</t>
  </si>
  <si>
    <t xml:space="preserve">Inherent Score</t>
  </si>
  <si>
    <t xml:space="preserve">Inherent Rating</t>
  </si>
  <si>
    <t xml:space="preserve">Mitigation Action</t>
  </si>
  <si>
    <t xml:space="preserve">Residual Likelihood</t>
  </si>
  <si>
    <t xml:space="preserve">Residual Severity</t>
  </si>
  <si>
    <t xml:space="preserve">Residual Score</t>
  </si>
  <si>
    <t xml:space="preserve">Residual Rating</t>
  </si>
  <si>
    <t xml:space="preserve">Owner</t>
  </si>
  <si>
    <t xml:space="preserve">Target Date</t>
  </si>
  <si>
    <t xml:space="preserve">Review Date</t>
  </si>
  <si>
    <t xml:space="preserve">R001</t>
  </si>
  <si>
    <t xml:space="preserve">2026-01-15</t>
  </si>
  <si>
    <t xml:space="preserve">Delayed critical value reporting to requesting physician</t>
  </si>
  <si>
    <t xml:space="preserve">Implement automated alert system for critical values</t>
  </si>
  <si>
    <t xml:space="preserve">R002</t>
  </si>
  <si>
    <t xml:space="preserve">2026-01-20</t>
  </si>
  <si>
    <t xml:space="preserve">Expired reagents in use on automated analyzer</t>
  </si>
  <si>
    <t xml:space="preserve">Implement barcode scanning for reagent verification</t>
  </si>
  <si>
    <t xml:space="preserve">R003</t>
  </si>
  <si>
    <t xml:space="preserve">2026-02-01</t>
  </si>
  <si>
    <t xml:space="preserve">Inadequate PPE compliance in specimen processing area</t>
  </si>
  <si>
    <t xml:space="preserve">Mandatory PPE training and spot audits</t>
  </si>
  <si>
    <t xml:space="preserve">R004</t>
  </si>
  <si>
    <t xml:space="preserve">2026-02-10</t>
  </si>
  <si>
    <t xml:space="preserve">Analyzer calibration drift affecting QC results</t>
  </si>
  <si>
    <t xml:space="preserve">Implement daily calibration verification and trending</t>
  </si>
  <si>
    <t xml:space="preserve">R005</t>
  </si>
  <si>
    <t xml:space="preserve">2026-02-15</t>
  </si>
  <si>
    <t xml:space="preserve">LIS downtime during peak testing hours</t>
  </si>
  <si>
    <t xml:space="preserve">Implement redundant server with automatic failover</t>
  </si>
  <si>
    <t xml:space="preserve">R006</t>
  </si>
  <si>
    <t xml:space="preserve">2026-03-01</t>
  </si>
  <si>
    <t xml:space="preserve">Insufficient staffing during peak hours</t>
  </si>
  <si>
    <t xml:space="preserve">Cross-train staff and implement flexible scheduling</t>
  </si>
  <si>
    <t xml:space="preserve">R007</t>
  </si>
  <si>
    <t xml:space="preserve">2026-03-10</t>
  </si>
  <si>
    <t xml:space="preserve">Budget constraints limiting equipment replacement</t>
  </si>
  <si>
    <t xml:space="preserve">Develop 5-year capital equipment replacement plan</t>
  </si>
  <si>
    <t xml:space="preserve">R008</t>
  </si>
  <si>
    <t xml:space="preserve">2026-03-15</t>
  </si>
  <si>
    <t xml:space="preserve">Key person dependency for specialized testing</t>
  </si>
  <si>
    <t xml:space="preserve">Cross-train minimum 2 staff per specialized test</t>
  </si>
  <si>
    <t xml:space="preserve">R009</t>
  </si>
  <si>
    <t xml:space="preserve">2026-04-01</t>
  </si>
  <si>
    <t xml:space="preserve">Temperature excursions in storage areas</t>
  </si>
  <si>
    <t xml:space="preserve">Install continuous temperature monitoring with alarms</t>
  </si>
  <si>
    <t xml:space="preserve">R010</t>
  </si>
  <si>
    <t xml:space="preserve">2026-04-10</t>
  </si>
  <si>
    <t xml:space="preserve">Misidentification of patient samples</t>
  </si>
  <si>
    <t xml:space="preserve">Implement two-patient identifier verification at all steps</t>
  </si>
  <si>
    <t xml:space="preserve">Risk Assessment Matrix (5x5)</t>
  </si>
  <si>
    <t xml:space="preserve">Likelihood / Severity</t>
  </si>
  <si>
    <t xml:space="preserve">1 - Rare</t>
  </si>
  <si>
    <t xml:space="preserve">2 - Unlikely</t>
  </si>
  <si>
    <t xml:space="preserve">3 - Possible</t>
  </si>
  <si>
    <t xml:space="preserve">4 - Likely</t>
  </si>
  <si>
    <t xml:space="preserve">5 - Almost Certain</t>
  </si>
  <si>
    <t xml:space="preserve">Legend:</t>
  </si>
  <si>
    <t xml:space="preserve">Critical (15-25)</t>
  </si>
  <si>
    <t xml:space="preserve">High (9-14)</t>
  </si>
  <si>
    <t xml:space="preserve">Medium (4-8)</t>
  </si>
  <si>
    <t xml:space="preserve">Low (1-3)</t>
  </si>
  <si>
    <t xml:space="preserve">Risk Management Dashboard</t>
  </si>
  <si>
    <t xml:space="preserve">Total Risks</t>
  </si>
  <si>
    <t xml:space="preserve">Critical Risks</t>
  </si>
  <si>
    <t xml:space="preserve">High Risks</t>
  </si>
  <si>
    <t xml:space="preserve">Open Risks</t>
  </si>
  <si>
    <t xml:space="preserve">Risk Reduction %</t>
  </si>
  <si>
    <t xml:space="preserve">Risk Count by Category</t>
  </si>
  <si>
    <t xml:space="preserve">Count</t>
  </si>
  <si>
    <t xml:space="preserve">Inherent vs Residual Risk Score</t>
  </si>
</sst>
</file>

<file path=xl/styles.xml><?xml version="1.0" encoding="utf-8"?>
<styleSheet xmlns="http://schemas.openxmlformats.org/spreadsheetml/2006/main">
  <numFmts count="1">
    <numFmt numFmtId="164" formatCode="General"/>
  </numFmts>
  <fonts count="25">
    <font>
      <sz val="11"/>
      <color theme="1"/>
      <name val="Calibri"/>
      <family val="2"/>
      <charset val="1"/>
    </font>
    <font>
      <sz val="10"/>
      <name val="Arial"/>
      <family val="0"/>
    </font>
    <font>
      <sz val="10"/>
      <name val="Arial"/>
      <family val="0"/>
    </font>
    <font>
      <sz val="10"/>
      <name val="Arial"/>
      <family val="0"/>
    </font>
    <font>
      <b val="true"/>
      <sz val="22"/>
      <color rgb="FF071F3B"/>
      <name val="Calibri"/>
      <family val="0"/>
      <charset val="1"/>
    </font>
    <font>
      <i val="true"/>
      <sz val="11"/>
      <color rgb="FF087F83"/>
      <name val="Calibri"/>
      <family val="0"/>
      <charset val="1"/>
    </font>
    <font>
      <sz val="11"/>
      <color rgb="FF667789"/>
      <name val="Calibri"/>
      <family val="0"/>
      <charset val="1"/>
    </font>
    <font>
      <b val="true"/>
      <sz val="13"/>
      <color rgb="FF071F3B"/>
      <name val="Calibri"/>
      <family val="0"/>
      <charset val="1"/>
    </font>
    <font>
      <sz val="10"/>
      <color rgb="FF173047"/>
      <name val="Calibri"/>
      <family val="0"/>
      <charset val="1"/>
    </font>
    <font>
      <i val="true"/>
      <sz val="9"/>
      <color rgb="FF667789"/>
      <name val="Calibri"/>
      <family val="0"/>
      <charset val="1"/>
    </font>
    <font>
      <sz val="9"/>
      <color rgb="FF667789"/>
      <name val="Calibri"/>
      <family val="0"/>
      <charset val="1"/>
    </font>
    <font>
      <b val="true"/>
      <sz val="11"/>
      <color rgb="FFFFFFFF"/>
      <name val="Calibri"/>
      <family val="0"/>
      <charset val="1"/>
    </font>
    <font>
      <b val="true"/>
      <sz val="10"/>
      <color rgb="FF173047"/>
      <name val="Calibri"/>
      <family val="0"/>
      <charset val="1"/>
    </font>
    <font>
      <b val="true"/>
      <sz val="16"/>
      <color rgb="FF071F3B"/>
      <name val="Calibri"/>
      <family val="0"/>
      <charset val="1"/>
    </font>
    <font>
      <b val="true"/>
      <sz val="10"/>
      <color rgb="FFFFFFFF"/>
      <name val="Cambria"/>
      <family val="0"/>
      <charset val="1"/>
    </font>
    <font>
      <b val="true"/>
      <sz val="14"/>
      <color rgb="FF173047"/>
      <name val="Calibri"/>
      <family val="0"/>
      <charset val="1"/>
    </font>
    <font>
      <b val="true"/>
      <sz val="14"/>
      <color rgb="FFFFFFFF"/>
      <name val="Cambria"/>
      <family val="0"/>
      <charset val="1"/>
    </font>
    <font>
      <b val="true"/>
      <sz val="10"/>
      <color rgb="FF071F3B"/>
      <name val="Cambria"/>
      <family val="0"/>
      <charset val="1"/>
    </font>
    <font>
      <b val="true"/>
      <sz val="10"/>
      <color rgb="FF173047"/>
      <name val="Cambria"/>
      <family val="0"/>
      <charset val="1"/>
    </font>
    <font>
      <b val="true"/>
      <sz val="18"/>
      <color rgb="FF071F3B"/>
      <name val="Calibri"/>
      <family val="0"/>
      <charset val="1"/>
    </font>
    <font>
      <b val="true"/>
      <sz val="9"/>
      <color rgb="FFD4E2EB"/>
      <name val="Calibri"/>
      <family val="0"/>
      <charset val="1"/>
    </font>
    <font>
      <b val="true"/>
      <sz val="22"/>
      <color rgb="FFF0CB67"/>
      <name val="Calibri"/>
      <family val="0"/>
      <charset val="1"/>
    </font>
    <font>
      <b val="true"/>
      <sz val="18"/>
      <color rgb="FF000000"/>
      <name val="Calibri"/>
      <family val="2"/>
    </font>
    <font>
      <sz val="10"/>
      <color rgb="FF000000"/>
      <name val="Calibri"/>
      <family val="2"/>
    </font>
    <font>
      <b val="true"/>
      <sz val="10"/>
      <color rgb="FF000000"/>
      <name val="Calibri"/>
      <family val="2"/>
    </font>
  </fonts>
  <fills count="9">
    <fill>
      <patternFill patternType="none"/>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
      <patternFill patternType="solid">
        <fgColor rgb="FFFFE066"/>
        <bgColor rgb="FFF0CB67"/>
      </patternFill>
    </fill>
    <fill>
      <patternFill patternType="solid">
        <fgColor rgb="FFFFA94D"/>
        <bgColor rgb="FFD8A72B"/>
      </patternFill>
    </fill>
    <fill>
      <patternFill patternType="solid">
        <fgColor rgb="FFFF6B6B"/>
        <bgColor rgb="FFFF6600"/>
      </patternFill>
    </fill>
    <fill>
      <patternFill patternType="solid">
        <fgColor rgb="FFC3F6C3"/>
        <bgColor rgb="FFD4E2EB"/>
      </patternFill>
    </fill>
  </fills>
  <borders count="3">
    <border diagonalUp="false" diagonalDown="false">
      <left/>
      <right/>
      <top/>
      <bottom/>
      <diagonal/>
    </border>
    <border diagonalUp="false" diagonalDown="false">
      <left/>
      <right/>
      <top/>
      <bottom style="medium">
        <color rgb="FFD8A72B"/>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1" fillId="3"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center" vertical="center" textRotation="0" wrapText="fals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15" fillId="6" borderId="2" xfId="0" applyFont="true" applyBorder="true" applyAlignment="true" applyProtection="false">
      <alignment horizontal="center" vertical="center" textRotation="0" wrapText="true" indent="0" shrinkToFit="false"/>
      <protection locked="true" hidden="false"/>
    </xf>
    <xf numFmtId="164" fontId="16" fillId="7" borderId="2" xfId="0" applyFont="true" applyBorder="true" applyAlignment="true" applyProtection="false">
      <alignment horizontal="center" vertical="center" textRotation="0" wrapText="true" indent="0" shrinkToFit="false"/>
      <protection locked="true" hidden="false"/>
    </xf>
    <xf numFmtId="164" fontId="15" fillId="8" borderId="2"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bottom" textRotation="0" wrapText="false" indent="0" shrinkToFit="false"/>
      <protection locked="true" hidden="false"/>
    </xf>
    <xf numFmtId="164" fontId="14" fillId="6" borderId="0" xfId="0" applyFont="true" applyBorder="false" applyAlignment="true" applyProtection="false">
      <alignment horizontal="center" vertical="bottom" textRotation="0" wrapText="false" indent="0" shrinkToFit="false"/>
      <protection locked="true" hidden="false"/>
    </xf>
    <xf numFmtId="164" fontId="18" fillId="5" borderId="0" xfId="0" applyFont="true" applyBorder="false" applyAlignment="true" applyProtection="false">
      <alignment horizontal="center" vertical="bottom" textRotation="0" wrapText="false" indent="0" shrinkToFit="false"/>
      <protection locked="true" hidden="false"/>
    </xf>
    <xf numFmtId="164" fontId="18" fillId="8"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20" fillId="2" borderId="0" xfId="0" applyFont="true" applyBorder="true" applyAlignment="true" applyProtection="false">
      <alignment horizontal="center" vertical="center" textRotation="0" wrapText="false" indent="0" shrinkToFit="false"/>
      <protection locked="true" hidden="false"/>
    </xf>
    <xf numFmtId="164" fontId="21" fillId="2"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3F6C3"/>
          <bgColor rgb="FF000000"/>
        </patternFill>
      </fill>
    </dxf>
    <dxf>
      <fill>
        <patternFill patternType="solid">
          <fgColor rgb="FFFF6B6B"/>
          <bgColor rgb="FF000000"/>
        </patternFill>
      </fill>
    </dxf>
    <dxf>
      <fill>
        <patternFill patternType="solid">
          <fgColor rgb="FFFFA94D"/>
          <bgColor rgb="FF000000"/>
        </patternFill>
      </fill>
    </dxf>
    <dxf>
      <fill>
        <patternFill patternType="solid">
          <fgColor rgb="FFFFE066"/>
          <bgColor rgb="FF000000"/>
        </patternFill>
      </fill>
    </dxf>
    <dxf>
      <font>
        <b val="1"/>
        <color rgb="FFFFFFFF"/>
      </font>
      <fill>
        <patternFill>
          <bgColor rgb="FFFF6B6B"/>
        </patternFill>
      </fill>
    </dxf>
    <dxf>
      <fill>
        <patternFill>
          <bgColor rgb="FFFFA94D"/>
        </patternFill>
      </fill>
    </dxf>
    <dxf>
      <fill>
        <patternFill>
          <bgColor rgb="FFFFE066"/>
        </patternFill>
      </fill>
    </dxf>
    <dxf>
      <fill>
        <patternFill>
          <bgColor rgb="FFC3F6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E066"/>
      <rgbColor rgb="FF99CCFF"/>
      <rgbColor rgb="FFFF99CC"/>
      <rgbColor rgb="FFCC99FF"/>
      <rgbColor rgb="FFF0CB67"/>
      <rgbColor rgb="FF4F81BD"/>
      <rgbColor rgb="FF33CCCC"/>
      <rgbColor rgb="FF9BBB59"/>
      <rgbColor rgb="FFFFA94D"/>
      <rgbColor rgb="FFD8A72B"/>
      <rgbColor rgb="FFFF6600"/>
      <rgbColor rgb="FF667789"/>
      <rgbColor rgb="FF969696"/>
      <rgbColor rgb="FF173047"/>
      <rgbColor rgb="FF339966"/>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Risks by Category</a:t>
            </a:r>
          </a:p>
        </c:rich>
      </c:tx>
      <c:overlay val="0"/>
      <c:spPr>
        <a:noFill/>
        <a:ln w="0">
          <a:noFill/>
        </a:ln>
      </c:spPr>
    </c:title>
    <c:autoTitleDeleted val="0"/>
    <c:plotArea>
      <c:barChart>
        <c:barDir val="col"/>
        <c:grouping val="clustered"/>
        <c:varyColors val="0"/>
        <c:ser>
          <c:idx val="0"/>
          <c:order val="0"/>
          <c:tx>
            <c:strRef>
              <c:f>Dashboard!C10</c:f>
              <c:strCache>
                <c:ptCount val="1"/>
                <c:pt idx="0">
                  <c:v>Count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Dashboard!$B$11:$B$19</c:f>
              <c:strCache>
                <c:ptCount val="9"/>
                <c:pt idx="0">
                  <c:v>Clinical</c:v>
                </c:pt>
                <c:pt idx="1">
                  <c:v>Operational</c:v>
                </c:pt>
                <c:pt idx="2">
                  <c:v>Financial</c:v>
                </c:pt>
                <c:pt idx="3">
                  <c:v>Compliance</c:v>
                </c:pt>
                <c:pt idx="4">
                  <c:v>Safety</c:v>
                </c:pt>
                <c:pt idx="5">
                  <c:v>Equipment</c:v>
                </c:pt>
                <c:pt idx="6">
                  <c:v>IT/Data</c:v>
                </c:pt>
                <c:pt idx="7">
                  <c:v>Personnel</c:v>
                </c:pt>
                <c:pt idx="8">
                  <c:v>Facility</c:v>
                </c:pt>
              </c:strCache>
            </c:strRef>
          </c:cat>
          <c:val>
            <c:numRef>
              <c:f>Dashboard!$C$11:$C$19</c:f>
              <c:numCache>
                <c:formatCode>General</c:formatCode>
                <c:ptCount val="9"/>
                <c:pt idx="0">
                  <c:v>2</c:v>
                </c:pt>
                <c:pt idx="1">
                  <c:v>1</c:v>
                </c:pt>
                <c:pt idx="2">
                  <c:v>1</c:v>
                </c:pt>
                <c:pt idx="3">
                  <c:v>1</c:v>
                </c:pt>
                <c:pt idx="4">
                  <c:v>1</c:v>
                </c:pt>
                <c:pt idx="5">
                  <c:v>1</c:v>
                </c:pt>
                <c:pt idx="6">
                  <c:v>1</c:v>
                </c:pt>
                <c:pt idx="7">
                  <c:v>1</c:v>
                </c:pt>
                <c:pt idx="8">
                  <c:v>1</c:v>
                </c:pt>
              </c:numCache>
            </c:numRef>
          </c:val>
        </c:ser>
        <c:ser>
          <c:idx val="1"/>
          <c:order val="1"/>
          <c:tx>
            <c:strRef>
              <c:f>Dashboard!D10</c:f>
              <c:strCache>
                <c:ptCount val="1"/>
                <c:pt idx="0">
                  <c:v>Critical</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Dashboard!$B$11:$B$19</c:f>
              <c:strCache>
                <c:ptCount val="9"/>
                <c:pt idx="0">
                  <c:v>Clinical</c:v>
                </c:pt>
                <c:pt idx="1">
                  <c:v>Operational</c:v>
                </c:pt>
                <c:pt idx="2">
                  <c:v>Financial</c:v>
                </c:pt>
                <c:pt idx="3">
                  <c:v>Compliance</c:v>
                </c:pt>
                <c:pt idx="4">
                  <c:v>Safety</c:v>
                </c:pt>
                <c:pt idx="5">
                  <c:v>Equipment</c:v>
                </c:pt>
                <c:pt idx="6">
                  <c:v>IT/Data</c:v>
                </c:pt>
                <c:pt idx="7">
                  <c:v>Personnel</c:v>
                </c:pt>
                <c:pt idx="8">
                  <c:v>Facility</c:v>
                </c:pt>
              </c:strCache>
            </c:strRef>
          </c:cat>
          <c:val>
            <c:numRef>
              <c:f>Dashboard!$D$11:$D$19</c:f>
              <c:numCache>
                <c:formatCode>General</c:formatCode>
                <c:ptCount val="9"/>
                <c:pt idx="0">
                  <c:v>1</c:v>
                </c:pt>
                <c:pt idx="1">
                  <c:v>0</c:v>
                </c:pt>
                <c:pt idx="2">
                  <c:v>0</c:v>
                </c:pt>
                <c:pt idx="3">
                  <c:v>0</c:v>
                </c:pt>
                <c:pt idx="4">
                  <c:v>0</c:v>
                </c:pt>
                <c:pt idx="5">
                  <c:v>0</c:v>
                </c:pt>
                <c:pt idx="6">
                  <c:v>0</c:v>
                </c:pt>
                <c:pt idx="7">
                  <c:v>0</c:v>
                </c:pt>
                <c:pt idx="8">
                  <c:v>0</c:v>
                </c:pt>
              </c:numCache>
            </c:numRef>
          </c:val>
        </c:ser>
        <c:ser>
          <c:idx val="2"/>
          <c:order val="2"/>
          <c:tx>
            <c:strRef>
              <c:f>Dashboard!E10</c:f>
              <c:strCache>
                <c:ptCount val="1"/>
                <c:pt idx="0">
                  <c:v>High</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Dashboard!$B$11:$B$19</c:f>
              <c:strCache>
                <c:ptCount val="9"/>
                <c:pt idx="0">
                  <c:v>Clinical</c:v>
                </c:pt>
                <c:pt idx="1">
                  <c:v>Operational</c:v>
                </c:pt>
                <c:pt idx="2">
                  <c:v>Financial</c:v>
                </c:pt>
                <c:pt idx="3">
                  <c:v>Compliance</c:v>
                </c:pt>
                <c:pt idx="4">
                  <c:v>Safety</c:v>
                </c:pt>
                <c:pt idx="5">
                  <c:v>Equipment</c:v>
                </c:pt>
                <c:pt idx="6">
                  <c:v>IT/Data</c:v>
                </c:pt>
                <c:pt idx="7">
                  <c:v>Personnel</c:v>
                </c:pt>
                <c:pt idx="8">
                  <c:v>Facility</c:v>
                </c:pt>
              </c:strCache>
            </c:strRef>
          </c:cat>
          <c:val>
            <c:numRef>
              <c:f>Dashboard!$E$11:$E$19</c:f>
              <c:numCache>
                <c:formatCode>General</c:formatCode>
                <c:ptCount val="9"/>
                <c:pt idx="0">
                  <c:v>1</c:v>
                </c:pt>
                <c:pt idx="1">
                  <c:v>1</c:v>
                </c:pt>
                <c:pt idx="2">
                  <c:v>0</c:v>
                </c:pt>
                <c:pt idx="3">
                  <c:v>0</c:v>
                </c:pt>
                <c:pt idx="4">
                  <c:v>1</c:v>
                </c:pt>
                <c:pt idx="5">
                  <c:v>1</c:v>
                </c:pt>
                <c:pt idx="6">
                  <c:v>1</c:v>
                </c:pt>
                <c:pt idx="7">
                  <c:v>1</c:v>
                </c:pt>
                <c:pt idx="8">
                  <c:v>0</c:v>
                </c:pt>
              </c:numCache>
            </c:numRef>
          </c:val>
        </c:ser>
        <c:gapWidth val="150"/>
        <c:overlap val="0"/>
        <c:axId val="63204802"/>
        <c:axId val="1090714"/>
      </c:barChart>
      <c:catAx>
        <c:axId val="632048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090714"/>
        <c:crosses val="autoZero"/>
        <c:auto val="1"/>
        <c:lblAlgn val="ctr"/>
        <c:lblOffset val="100"/>
        <c:noMultiLvlLbl val="0"/>
      </c:catAx>
      <c:valAx>
        <c:axId val="109071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320480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Inherent vs Residual Risk</a:t>
            </a:r>
          </a:p>
        </c:rich>
      </c:tx>
      <c:overlay val="0"/>
      <c:spPr>
        <a:noFill/>
        <a:ln w="0">
          <a:noFill/>
        </a:ln>
      </c:spPr>
    </c:title>
    <c:autoTitleDeleted val="0"/>
    <c:plotArea>
      <c:barChart>
        <c:barDir val="col"/>
        <c:grouping val="clustered"/>
        <c:varyColors val="0"/>
        <c:ser>
          <c:idx val="0"/>
          <c:order val="0"/>
          <c:tx>
            <c:strRef>
              <c:f>Dashboard!C23</c:f>
              <c:strCache>
                <c:ptCount val="1"/>
                <c:pt idx="0">
                  <c:v>15</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Dashboard!$B$24:$B$27</c:f>
              <c:strCache>
                <c:ptCount val="4"/>
                <c:pt idx="0">
                  <c:v>R002</c:v>
                </c:pt>
                <c:pt idx="1">
                  <c:v>R003</c:v>
                </c:pt>
                <c:pt idx="2">
                  <c:v>R004</c:v>
                </c:pt>
                <c:pt idx="3">
                  <c:v>R005</c:v>
                </c:pt>
              </c:strCache>
            </c:strRef>
          </c:cat>
          <c:val>
            <c:numRef>
              <c:f>Dashboard!$C$24:$C$27</c:f>
              <c:numCache>
                <c:formatCode>General</c:formatCode>
                <c:ptCount val="4"/>
                <c:pt idx="0">
                  <c:v>8</c:v>
                </c:pt>
                <c:pt idx="1">
                  <c:v>9</c:v>
                </c:pt>
                <c:pt idx="2">
                  <c:v>10</c:v>
                </c:pt>
                <c:pt idx="3">
                  <c:v>12</c:v>
                </c:pt>
              </c:numCache>
            </c:numRef>
          </c:val>
        </c:ser>
        <c:ser>
          <c:idx val="1"/>
          <c:order val="1"/>
          <c:tx>
            <c:strRef>
              <c:f>Dashboard!D23</c:f>
              <c:strCache>
                <c:ptCount val="1"/>
                <c:pt idx="0">
                  <c:v>6</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Dashboard!$B$24:$B$27</c:f>
              <c:strCache>
                <c:ptCount val="4"/>
                <c:pt idx="0">
                  <c:v>R002</c:v>
                </c:pt>
                <c:pt idx="1">
                  <c:v>R003</c:v>
                </c:pt>
                <c:pt idx="2">
                  <c:v>R004</c:v>
                </c:pt>
                <c:pt idx="3">
                  <c:v>R005</c:v>
                </c:pt>
              </c:strCache>
            </c:strRef>
          </c:cat>
          <c:val>
            <c:numRef>
              <c:f>Dashboard!$D$24:$D$27</c:f>
              <c:numCache>
                <c:formatCode>General</c:formatCode>
                <c:ptCount val="4"/>
                <c:pt idx="0">
                  <c:v>2</c:v>
                </c:pt>
                <c:pt idx="1">
                  <c:v>4</c:v>
                </c:pt>
                <c:pt idx="2">
                  <c:v>3</c:v>
                </c:pt>
                <c:pt idx="3">
                  <c:v>3</c:v>
                </c:pt>
              </c:numCache>
            </c:numRef>
          </c:val>
        </c:ser>
        <c:gapWidth val="150"/>
        <c:overlap val="0"/>
        <c:axId val="70321159"/>
        <c:axId val="2685713"/>
      </c:barChart>
      <c:catAx>
        <c:axId val="703211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85713"/>
        <c:crosses val="autoZero"/>
        <c:auto val="1"/>
        <c:lblAlgn val="ctr"/>
        <c:lblOffset val="100"/>
        <c:noMultiLvlLbl val="0"/>
      </c:catAx>
      <c:valAx>
        <c:axId val="268571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Score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032115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1095120</xdr:colOff>
      <xdr:row>4</xdr:row>
      <xdr:rowOff>94680</xdr:rowOff>
    </xdr:to>
    <xdr:pic>
      <xdr:nvPicPr>
        <xdr:cNvPr id="1" name="Image 1" descr="Picture"/>
        <xdr:cNvPicPr/>
      </xdr:nvPicPr>
      <xdr:blipFill>
        <a:blip r:embed="rId1"/>
        <a:stretch/>
      </xdr:blipFill>
      <xdr:spPr>
        <a:xfrm>
          <a:off x="211320" y="190440"/>
          <a:ext cx="1095120" cy="6663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8</xdr:row>
      <xdr:rowOff>0</xdr:rowOff>
    </xdr:from>
    <xdr:to>
      <xdr:col>12</xdr:col>
      <xdr:colOff>559080</xdr:colOff>
      <xdr:row>23</xdr:row>
      <xdr:rowOff>153360</xdr:rowOff>
    </xdr:to>
    <xdr:graphicFrame>
      <xdr:nvGraphicFramePr>
        <xdr:cNvPr id="2" name="Chart 1"/>
        <xdr:cNvGraphicFramePr/>
      </xdr:nvGraphicFramePr>
      <xdr:xfrm>
        <a:off x="5145480" y="19335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11</xdr:col>
      <xdr:colOff>105840</xdr:colOff>
      <xdr:row>35</xdr:row>
      <xdr:rowOff>98280</xdr:rowOff>
    </xdr:to>
    <xdr:graphicFrame>
      <xdr:nvGraphicFramePr>
        <xdr:cNvPr id="3" name="Chart 2"/>
        <xdr:cNvGraphicFramePr/>
      </xdr:nvGraphicFramePr>
      <xdr:xfrm>
        <a:off x="5145480" y="4524480"/>
        <a:ext cx="50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9: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55"/>
    <col collapsed="false" customWidth="true" hidden="false" outlineLevel="0" max="3" min="3" style="0" width="3"/>
  </cols>
  <sheetData>
    <row r="9" customFormat="false" ht="26.8" hidden="false" customHeight="false" outlineLevel="0" collapsed="false">
      <c r="B9" s="1" t="s">
        <v>0</v>
      </c>
    </row>
    <row r="10" customFormat="false" ht="15" hidden="false" customHeight="false" outlineLevel="0" collapsed="false">
      <c r="B10" s="2" t="s">
        <v>1</v>
      </c>
    </row>
    <row r="12" customFormat="false" ht="15" hidden="false" customHeight="false" outlineLevel="0" collapsed="false">
      <c r="B12" s="3"/>
      <c r="C12" s="3"/>
    </row>
    <row r="13" customFormat="false" ht="49.5" hidden="false" customHeight="true" outlineLevel="0" collapsed="false">
      <c r="B13" s="4" t="s">
        <v>2</v>
      </c>
    </row>
    <row r="15" customFormat="false" ht="16.15" hidden="false" customHeight="false" outlineLevel="0" collapsed="false">
      <c r="B15" s="5" t="s">
        <v>3</v>
      </c>
    </row>
    <row r="16" customFormat="false" ht="15" hidden="false" customHeight="false" outlineLevel="0" collapsed="false">
      <c r="B16" s="6" t="s">
        <v>4</v>
      </c>
    </row>
    <row r="17" customFormat="false" ht="15" hidden="false" customHeight="false" outlineLevel="0" collapsed="false">
      <c r="B17" s="6" t="s">
        <v>5</v>
      </c>
    </row>
    <row r="18" customFormat="false" ht="15" hidden="false" customHeight="false" outlineLevel="0" collapsed="false">
      <c r="B18" s="6" t="s">
        <v>6</v>
      </c>
    </row>
    <row r="19" customFormat="false" ht="15" hidden="false" customHeight="false" outlineLevel="0" collapsed="false">
      <c r="B19" s="6" t="s">
        <v>7</v>
      </c>
    </row>
    <row r="20" customFormat="false" ht="15" hidden="false" customHeight="false" outlineLevel="0" collapsed="false">
      <c r="B20" s="6" t="s">
        <v>8</v>
      </c>
    </row>
    <row r="21" customFormat="false" ht="15" hidden="false" customHeight="false" outlineLevel="0" collapsed="false">
      <c r="B21" s="6" t="s">
        <v>9</v>
      </c>
    </row>
    <row r="23" customFormat="false" ht="16.15" hidden="false" customHeight="false" outlineLevel="0" collapsed="false">
      <c r="B23" s="5" t="s">
        <v>10</v>
      </c>
    </row>
    <row r="24" customFormat="false" ht="15" hidden="false" customHeight="false" outlineLevel="0" collapsed="false">
      <c r="B24" s="6" t="s">
        <v>11</v>
      </c>
    </row>
    <row r="25" customFormat="false" ht="15" hidden="false" customHeight="false" outlineLevel="0" collapsed="false">
      <c r="B25" s="6" t="s">
        <v>12</v>
      </c>
    </row>
    <row r="26" customFormat="false" ht="15" hidden="false" customHeight="false" outlineLevel="0" collapsed="false">
      <c r="B26" s="6" t="s">
        <v>13</v>
      </c>
    </row>
    <row r="27" customFormat="false" ht="15" hidden="false" customHeight="false" outlineLevel="0" collapsed="false">
      <c r="B27" s="6" t="s">
        <v>14</v>
      </c>
    </row>
    <row r="28" customFormat="false" ht="15" hidden="false" customHeight="false" outlineLevel="0" collapsed="false">
      <c r="B28" s="6" t="s">
        <v>15</v>
      </c>
    </row>
    <row r="29" customFormat="false" ht="15" hidden="false" customHeight="false" outlineLevel="0" collapsed="false">
      <c r="B29" s="6" t="s">
        <v>16</v>
      </c>
    </row>
    <row r="31" customFormat="false" ht="16.15" hidden="false" customHeight="false" outlineLevel="0" collapsed="false">
      <c r="B31" s="5" t="s">
        <v>17</v>
      </c>
    </row>
    <row r="32" customFormat="false" ht="64.5" hidden="false" customHeight="true" outlineLevel="0" collapsed="false">
      <c r="B32" s="7" t="s">
        <v>18</v>
      </c>
    </row>
    <row r="34" customFormat="false" ht="15" hidden="false" customHeight="false" outlineLevel="0" collapsed="false">
      <c r="B34" s="8"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4" min="1" style="0" width="25"/>
  </cols>
  <sheetData>
    <row r="1" customFormat="false" ht="15" hidden="false" customHeight="false" outlineLevel="0" collapsed="false">
      <c r="A1" s="9" t="s">
        <v>20</v>
      </c>
      <c r="B1" s="9" t="s">
        <v>21</v>
      </c>
      <c r="C1" s="9" t="s">
        <v>22</v>
      </c>
      <c r="D1" s="9" t="s">
        <v>23</v>
      </c>
    </row>
    <row r="2" customFormat="false" ht="15" hidden="false" customHeight="false" outlineLevel="0" collapsed="false">
      <c r="A2" s="10" t="s">
        <v>24</v>
      </c>
      <c r="B2" s="10" t="s">
        <v>25</v>
      </c>
      <c r="C2" s="10" t="s">
        <v>26</v>
      </c>
      <c r="D2" s="10" t="s">
        <v>27</v>
      </c>
    </row>
    <row r="3" customFormat="false" ht="15" hidden="false" customHeight="false" outlineLevel="0" collapsed="false">
      <c r="A3" s="10" t="s">
        <v>28</v>
      </c>
      <c r="B3" s="10" t="s">
        <v>29</v>
      </c>
      <c r="C3" s="10" t="s">
        <v>30</v>
      </c>
      <c r="D3" s="10" t="s">
        <v>31</v>
      </c>
    </row>
    <row r="4" customFormat="false" ht="15" hidden="false" customHeight="false" outlineLevel="0" collapsed="false">
      <c r="A4" s="10" t="s">
        <v>32</v>
      </c>
      <c r="B4" s="10" t="s">
        <v>33</v>
      </c>
      <c r="C4" s="10" t="s">
        <v>34</v>
      </c>
      <c r="D4" s="10" t="s">
        <v>35</v>
      </c>
    </row>
    <row r="5" customFormat="false" ht="15" hidden="false" customHeight="false" outlineLevel="0" collapsed="false">
      <c r="A5" s="10" t="s">
        <v>36</v>
      </c>
      <c r="B5" s="10" t="s">
        <v>37</v>
      </c>
      <c r="C5" s="10" t="s">
        <v>38</v>
      </c>
      <c r="D5" s="10" t="s">
        <v>39</v>
      </c>
    </row>
    <row r="6" customFormat="false" ht="15" hidden="false" customHeight="false" outlineLevel="0" collapsed="false">
      <c r="A6" s="10" t="s">
        <v>40</v>
      </c>
      <c r="C6" s="10" t="s">
        <v>41</v>
      </c>
      <c r="D6" s="10" t="s">
        <v>42</v>
      </c>
    </row>
    <row r="7" customFormat="false" ht="15" hidden="false" customHeight="false" outlineLevel="0" collapsed="false">
      <c r="A7" s="10" t="s">
        <v>43</v>
      </c>
      <c r="D7" s="10" t="s">
        <v>44</v>
      </c>
    </row>
    <row r="8" customFormat="false" ht="15" hidden="false" customHeight="false" outlineLevel="0" collapsed="false">
      <c r="A8" s="10" t="s">
        <v>45</v>
      </c>
    </row>
    <row r="9" customFormat="false" ht="15" hidden="false" customHeight="false" outlineLevel="0" collapsed="false">
      <c r="A9" s="10" t="s">
        <v>46</v>
      </c>
    </row>
    <row r="10" customFormat="false" ht="15" hidden="false" customHeight="false" outlineLevel="0" collapsed="false">
      <c r="A10" s="10"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35"/>
    <col collapsed="false" customWidth="true" hidden="false" outlineLevel="0" max="9" min="6" style="0" width="10"/>
    <col collapsed="false" customWidth="true" hidden="false" outlineLevel="0" max="10" min="10" style="0" width="30"/>
    <col collapsed="false" customWidth="true" hidden="false" outlineLevel="0" max="14" min="11" style="0" width="10"/>
    <col collapsed="false" customWidth="true" hidden="false" outlineLevel="0" max="15" min="15" style="0" width="14"/>
    <col collapsed="false" customWidth="true" hidden="false" outlineLevel="0" max="18" min="16" style="0" width="12"/>
  </cols>
  <sheetData>
    <row r="1" customFormat="false" ht="39.75" hidden="false" customHeight="true" outlineLevel="0" collapsed="false">
      <c r="A1" s="11" t="s">
        <v>48</v>
      </c>
      <c r="B1" s="11" t="s">
        <v>49</v>
      </c>
      <c r="C1" s="11" t="s">
        <v>50</v>
      </c>
      <c r="D1" s="11" t="s">
        <v>51</v>
      </c>
      <c r="E1" s="11" t="s">
        <v>52</v>
      </c>
      <c r="F1" s="11" t="s">
        <v>53</v>
      </c>
      <c r="G1" s="11" t="s">
        <v>54</v>
      </c>
      <c r="H1" s="11" t="s">
        <v>55</v>
      </c>
      <c r="I1" s="11" t="s">
        <v>56</v>
      </c>
      <c r="J1" s="11" t="s">
        <v>57</v>
      </c>
      <c r="K1" s="11" t="s">
        <v>58</v>
      </c>
      <c r="L1" s="11" t="s">
        <v>59</v>
      </c>
      <c r="M1" s="11" t="s">
        <v>60</v>
      </c>
      <c r="N1" s="11" t="s">
        <v>61</v>
      </c>
      <c r="O1" s="11" t="s">
        <v>62</v>
      </c>
      <c r="P1" s="11" t="s">
        <v>63</v>
      </c>
      <c r="Q1" s="11" t="s">
        <v>22</v>
      </c>
      <c r="R1" s="11" t="s">
        <v>64</v>
      </c>
    </row>
    <row r="2" customFormat="false" ht="23.85" hidden="false" customHeight="false" outlineLevel="0" collapsed="false">
      <c r="A2" s="12" t="n">
        <v>1</v>
      </c>
      <c r="B2" s="13" t="s">
        <v>65</v>
      </c>
      <c r="C2" s="12" t="s">
        <v>66</v>
      </c>
      <c r="D2" s="14" t="s">
        <v>24</v>
      </c>
      <c r="E2" s="14" t="s">
        <v>67</v>
      </c>
      <c r="F2" s="12" t="n">
        <v>3</v>
      </c>
      <c r="G2" s="12" t="n">
        <v>5</v>
      </c>
      <c r="H2" s="15" t="n">
        <f aca="false">F2*G2</f>
        <v>15</v>
      </c>
      <c r="I2" s="13" t="str">
        <f aca="false">IF(H2&gt;=15,"Critical",IF(H2&gt;=9,"High",IF(H2&gt;=4,"Medium","Low")))</f>
        <v>Critical</v>
      </c>
      <c r="J2" s="14" t="s">
        <v>68</v>
      </c>
      <c r="K2" s="12" t="n">
        <v>2</v>
      </c>
      <c r="L2" s="12" t="n">
        <v>3</v>
      </c>
      <c r="M2" s="15" t="n">
        <f aca="false">K2*L2</f>
        <v>6</v>
      </c>
      <c r="N2" s="13" t="str">
        <f aca="false">IF(M2&gt;=15,"Critical",IF(M2&gt;=9,"High",IF(M2&gt;=4,"Medium","Low")))</f>
        <v>Medium</v>
      </c>
      <c r="O2" s="14"/>
      <c r="P2" s="14"/>
      <c r="Q2" s="14"/>
      <c r="R2" s="14"/>
    </row>
    <row r="3" customFormat="false" ht="23.85" hidden="false" customHeight="false" outlineLevel="0" collapsed="false">
      <c r="A3" s="12" t="n">
        <v>2</v>
      </c>
      <c r="B3" s="13" t="s">
        <v>69</v>
      </c>
      <c r="C3" s="12" t="s">
        <v>70</v>
      </c>
      <c r="D3" s="14" t="s">
        <v>36</v>
      </c>
      <c r="E3" s="14" t="s">
        <v>71</v>
      </c>
      <c r="F3" s="12" t="n">
        <v>2</v>
      </c>
      <c r="G3" s="12" t="n">
        <v>4</v>
      </c>
      <c r="H3" s="15" t="n">
        <f aca="false">F3*G3</f>
        <v>8</v>
      </c>
      <c r="I3" s="13" t="str">
        <f aca="false">IF(H3&gt;=15,"Critical",IF(H3&gt;=9,"High",IF(H3&gt;=4,"Medium","Low")))</f>
        <v>Medium</v>
      </c>
      <c r="J3" s="14" t="s">
        <v>72</v>
      </c>
      <c r="K3" s="12" t="n">
        <v>1</v>
      </c>
      <c r="L3" s="12" t="n">
        <v>2</v>
      </c>
      <c r="M3" s="15" t="n">
        <f aca="false">K3*L3</f>
        <v>2</v>
      </c>
      <c r="N3" s="13" t="str">
        <f aca="false">IF(M3&gt;=15,"Critical",IF(M3&gt;=9,"High",IF(M3&gt;=4,"Medium","Low")))</f>
        <v>Low</v>
      </c>
      <c r="O3" s="14"/>
      <c r="P3" s="14"/>
      <c r="Q3" s="14"/>
      <c r="R3" s="14"/>
    </row>
    <row r="4" customFormat="false" ht="23.85" hidden="false" customHeight="false" outlineLevel="0" collapsed="false">
      <c r="A4" s="12" t="n">
        <v>3</v>
      </c>
      <c r="B4" s="13" t="s">
        <v>73</v>
      </c>
      <c r="C4" s="12" t="s">
        <v>74</v>
      </c>
      <c r="D4" s="14" t="s">
        <v>40</v>
      </c>
      <c r="E4" s="14" t="s">
        <v>75</v>
      </c>
      <c r="F4" s="12" t="n">
        <v>3</v>
      </c>
      <c r="G4" s="12" t="n">
        <v>3</v>
      </c>
      <c r="H4" s="15" t="n">
        <f aca="false">F4*G4</f>
        <v>9</v>
      </c>
      <c r="I4" s="13" t="str">
        <f aca="false">IF(H4&gt;=15,"Critical",IF(H4&gt;=9,"High",IF(H4&gt;=4,"Medium","Low")))</f>
        <v>High</v>
      </c>
      <c r="J4" s="14" t="s">
        <v>76</v>
      </c>
      <c r="K4" s="12" t="n">
        <v>2</v>
      </c>
      <c r="L4" s="12" t="n">
        <v>2</v>
      </c>
      <c r="M4" s="15" t="n">
        <f aca="false">K4*L4</f>
        <v>4</v>
      </c>
      <c r="N4" s="13" t="str">
        <f aca="false">IF(M4&gt;=15,"Critical",IF(M4&gt;=9,"High",IF(M4&gt;=4,"Medium","Low")))</f>
        <v>Medium</v>
      </c>
      <c r="O4" s="14"/>
      <c r="P4" s="14"/>
      <c r="Q4" s="14"/>
      <c r="R4" s="14"/>
    </row>
    <row r="5" customFormat="false" ht="23.85" hidden="false" customHeight="false" outlineLevel="0" collapsed="false">
      <c r="A5" s="12" t="n">
        <v>4</v>
      </c>
      <c r="B5" s="13" t="s">
        <v>77</v>
      </c>
      <c r="C5" s="12" t="s">
        <v>78</v>
      </c>
      <c r="D5" s="14" t="s">
        <v>43</v>
      </c>
      <c r="E5" s="14" t="s">
        <v>79</v>
      </c>
      <c r="F5" s="12" t="n">
        <v>2</v>
      </c>
      <c r="G5" s="12" t="n">
        <v>5</v>
      </c>
      <c r="H5" s="15" t="n">
        <f aca="false">F5*G5</f>
        <v>10</v>
      </c>
      <c r="I5" s="13" t="str">
        <f aca="false">IF(H5&gt;=15,"Critical",IF(H5&gt;=9,"High",IF(H5&gt;=4,"Medium","Low")))</f>
        <v>High</v>
      </c>
      <c r="J5" s="14" t="s">
        <v>80</v>
      </c>
      <c r="K5" s="12" t="n">
        <v>1</v>
      </c>
      <c r="L5" s="12" t="n">
        <v>3</v>
      </c>
      <c r="M5" s="15" t="n">
        <f aca="false">K5*L5</f>
        <v>3</v>
      </c>
      <c r="N5" s="13" t="str">
        <f aca="false">IF(M5&gt;=15,"Critical",IF(M5&gt;=9,"High",IF(M5&gt;=4,"Medium","Low")))</f>
        <v>Low</v>
      </c>
      <c r="O5" s="14"/>
      <c r="P5" s="14"/>
      <c r="Q5" s="14"/>
      <c r="R5" s="14"/>
    </row>
    <row r="6" customFormat="false" ht="23.85" hidden="false" customHeight="false" outlineLevel="0" collapsed="false">
      <c r="A6" s="12" t="n">
        <v>5</v>
      </c>
      <c r="B6" s="13" t="s">
        <v>81</v>
      </c>
      <c r="C6" s="12" t="s">
        <v>82</v>
      </c>
      <c r="D6" s="14" t="s">
        <v>45</v>
      </c>
      <c r="E6" s="14" t="s">
        <v>83</v>
      </c>
      <c r="F6" s="12" t="n">
        <v>3</v>
      </c>
      <c r="G6" s="12" t="n">
        <v>4</v>
      </c>
      <c r="H6" s="15" t="n">
        <f aca="false">F6*G6</f>
        <v>12</v>
      </c>
      <c r="I6" s="13" t="str">
        <f aca="false">IF(H6&gt;=15,"Critical",IF(H6&gt;=9,"High",IF(H6&gt;=4,"Medium","Low")))</f>
        <v>High</v>
      </c>
      <c r="J6" s="14" t="s">
        <v>84</v>
      </c>
      <c r="K6" s="12" t="n">
        <v>1</v>
      </c>
      <c r="L6" s="12" t="n">
        <v>3</v>
      </c>
      <c r="M6" s="15" t="n">
        <f aca="false">K6*L6</f>
        <v>3</v>
      </c>
      <c r="N6" s="13" t="str">
        <f aca="false">IF(M6&gt;=15,"Critical",IF(M6&gt;=9,"High",IF(M6&gt;=4,"Medium","Low")))</f>
        <v>Low</v>
      </c>
      <c r="O6" s="14"/>
      <c r="P6" s="14"/>
      <c r="Q6" s="14"/>
      <c r="R6" s="14"/>
    </row>
    <row r="7" customFormat="false" ht="23.85" hidden="false" customHeight="false" outlineLevel="0" collapsed="false">
      <c r="A7" s="12" t="n">
        <v>6</v>
      </c>
      <c r="B7" s="13" t="s">
        <v>85</v>
      </c>
      <c r="C7" s="12" t="s">
        <v>86</v>
      </c>
      <c r="D7" s="14" t="s">
        <v>28</v>
      </c>
      <c r="E7" s="14" t="s">
        <v>87</v>
      </c>
      <c r="F7" s="12" t="n">
        <v>3</v>
      </c>
      <c r="G7" s="12" t="n">
        <v>3</v>
      </c>
      <c r="H7" s="15" t="n">
        <f aca="false">F7*G7</f>
        <v>9</v>
      </c>
      <c r="I7" s="13" t="str">
        <f aca="false">IF(H7&gt;=15,"Critical",IF(H7&gt;=9,"High",IF(H7&gt;=4,"Medium","Low")))</f>
        <v>High</v>
      </c>
      <c r="J7" s="14" t="s">
        <v>88</v>
      </c>
      <c r="K7" s="12" t="n">
        <v>2</v>
      </c>
      <c r="L7" s="12" t="n">
        <v>2</v>
      </c>
      <c r="M7" s="15" t="n">
        <f aca="false">K7*L7</f>
        <v>4</v>
      </c>
      <c r="N7" s="13" t="str">
        <f aca="false">IF(M7&gt;=15,"Critical",IF(M7&gt;=9,"High",IF(M7&gt;=4,"Medium","Low")))</f>
        <v>Medium</v>
      </c>
      <c r="O7" s="14"/>
      <c r="P7" s="14"/>
      <c r="Q7" s="14"/>
      <c r="R7" s="14"/>
    </row>
    <row r="8" customFormat="false" ht="23.85" hidden="false" customHeight="false" outlineLevel="0" collapsed="false">
      <c r="A8" s="12" t="n">
        <v>7</v>
      </c>
      <c r="B8" s="13" t="s">
        <v>89</v>
      </c>
      <c r="C8" s="12" t="s">
        <v>90</v>
      </c>
      <c r="D8" s="14" t="s">
        <v>32</v>
      </c>
      <c r="E8" s="14" t="s">
        <v>91</v>
      </c>
      <c r="F8" s="12" t="n">
        <v>2</v>
      </c>
      <c r="G8" s="12" t="n">
        <v>4</v>
      </c>
      <c r="H8" s="15" t="n">
        <f aca="false">F8*G8</f>
        <v>8</v>
      </c>
      <c r="I8" s="13" t="str">
        <f aca="false">IF(H8&gt;=15,"Critical",IF(H8&gt;=9,"High",IF(H8&gt;=4,"Medium","Low")))</f>
        <v>Medium</v>
      </c>
      <c r="J8" s="14" t="s">
        <v>92</v>
      </c>
      <c r="K8" s="12" t="n">
        <v>2</v>
      </c>
      <c r="L8" s="12" t="n">
        <v>3</v>
      </c>
      <c r="M8" s="15" t="n">
        <f aca="false">K8*L8</f>
        <v>6</v>
      </c>
      <c r="N8" s="13" t="str">
        <f aca="false">IF(M8&gt;=15,"Critical",IF(M8&gt;=9,"High",IF(M8&gt;=4,"Medium","Low")))</f>
        <v>Medium</v>
      </c>
      <c r="O8" s="14"/>
      <c r="P8" s="14"/>
      <c r="Q8" s="14"/>
      <c r="R8" s="14"/>
    </row>
    <row r="9" customFormat="false" ht="23.85" hidden="false" customHeight="false" outlineLevel="0" collapsed="false">
      <c r="A9" s="12" t="n">
        <v>8</v>
      </c>
      <c r="B9" s="13" t="s">
        <v>93</v>
      </c>
      <c r="C9" s="12" t="s">
        <v>94</v>
      </c>
      <c r="D9" s="14" t="s">
        <v>46</v>
      </c>
      <c r="E9" s="14" t="s">
        <v>95</v>
      </c>
      <c r="F9" s="12" t="n">
        <v>2</v>
      </c>
      <c r="G9" s="12" t="n">
        <v>5</v>
      </c>
      <c r="H9" s="15" t="n">
        <f aca="false">F9*G9</f>
        <v>10</v>
      </c>
      <c r="I9" s="13" t="str">
        <f aca="false">IF(H9&gt;=15,"Critical",IF(H9&gt;=9,"High",IF(H9&gt;=4,"Medium","Low")))</f>
        <v>High</v>
      </c>
      <c r="J9" s="14" t="s">
        <v>96</v>
      </c>
      <c r="K9" s="12" t="n">
        <v>1</v>
      </c>
      <c r="L9" s="12" t="n">
        <v>3</v>
      </c>
      <c r="M9" s="15" t="n">
        <f aca="false">K9*L9</f>
        <v>3</v>
      </c>
      <c r="N9" s="13" t="str">
        <f aca="false">IF(M9&gt;=15,"Critical",IF(M9&gt;=9,"High",IF(M9&gt;=4,"Medium","Low")))</f>
        <v>Low</v>
      </c>
      <c r="O9" s="14"/>
      <c r="P9" s="14"/>
      <c r="Q9" s="14"/>
      <c r="R9" s="14"/>
    </row>
    <row r="10" customFormat="false" ht="23.85" hidden="false" customHeight="false" outlineLevel="0" collapsed="false">
      <c r="A10" s="12" t="n">
        <v>9</v>
      </c>
      <c r="B10" s="13" t="s">
        <v>97</v>
      </c>
      <c r="C10" s="12" t="s">
        <v>98</v>
      </c>
      <c r="D10" s="14" t="s">
        <v>47</v>
      </c>
      <c r="E10" s="14" t="s">
        <v>99</v>
      </c>
      <c r="F10" s="12" t="n">
        <v>2</v>
      </c>
      <c r="G10" s="12" t="n">
        <v>4</v>
      </c>
      <c r="H10" s="15" t="n">
        <f aca="false">F10*G10</f>
        <v>8</v>
      </c>
      <c r="I10" s="13" t="str">
        <f aca="false">IF(H10&gt;=15,"Critical",IF(H10&gt;=9,"High",IF(H10&gt;=4,"Medium","Low")))</f>
        <v>Medium</v>
      </c>
      <c r="J10" s="14" t="s">
        <v>100</v>
      </c>
      <c r="K10" s="12" t="n">
        <v>1</v>
      </c>
      <c r="L10" s="12" t="n">
        <v>2</v>
      </c>
      <c r="M10" s="15" t="n">
        <f aca="false">K10*L10</f>
        <v>2</v>
      </c>
      <c r="N10" s="13" t="str">
        <f aca="false">IF(M10&gt;=15,"Critical",IF(M10&gt;=9,"High",IF(M10&gt;=4,"Medium","Low")))</f>
        <v>Low</v>
      </c>
      <c r="O10" s="14"/>
      <c r="P10" s="14"/>
      <c r="Q10" s="14"/>
      <c r="R10" s="14"/>
    </row>
    <row r="11" customFormat="false" ht="23.85" hidden="false" customHeight="false" outlineLevel="0" collapsed="false">
      <c r="A11" s="12" t="n">
        <v>10</v>
      </c>
      <c r="B11" s="13" t="s">
        <v>101</v>
      </c>
      <c r="C11" s="12" t="s">
        <v>102</v>
      </c>
      <c r="D11" s="14" t="s">
        <v>24</v>
      </c>
      <c r="E11" s="14" t="s">
        <v>103</v>
      </c>
      <c r="F11" s="12" t="n">
        <v>2</v>
      </c>
      <c r="G11" s="12" t="n">
        <v>5</v>
      </c>
      <c r="H11" s="15" t="n">
        <f aca="false">F11*G11</f>
        <v>10</v>
      </c>
      <c r="I11" s="13" t="str">
        <f aca="false">IF(H11&gt;=15,"Critical",IF(H11&gt;=9,"High",IF(H11&gt;=4,"Medium","Low")))</f>
        <v>High</v>
      </c>
      <c r="J11" s="14" t="s">
        <v>104</v>
      </c>
      <c r="K11" s="12" t="n">
        <v>1</v>
      </c>
      <c r="L11" s="12" t="n">
        <v>2</v>
      </c>
      <c r="M11" s="15" t="n">
        <f aca="false">K11*L11</f>
        <v>2</v>
      </c>
      <c r="N11" s="13" t="str">
        <f aca="false">IF(M11&gt;=15,"Critical",IF(M11&gt;=9,"High",IF(M11&gt;=4,"Medium","Low")))</f>
        <v>Low</v>
      </c>
      <c r="O11" s="14"/>
      <c r="P11" s="14"/>
      <c r="Q11" s="14"/>
      <c r="R11" s="14"/>
    </row>
    <row r="12" customFormat="false" ht="15" hidden="false" customHeight="false" outlineLevel="0" collapsed="false">
      <c r="A12" s="12" t="n">
        <v>11</v>
      </c>
      <c r="H12" s="15" t="n">
        <f aca="false">F12*G12</f>
        <v>0</v>
      </c>
      <c r="I12" s="13" t="str">
        <f aca="false">IF(H12&gt;=15,"Critical",IF(H12&gt;=9,"High",IF(H12&gt;=4,"Medium","Low")))</f>
        <v>Low</v>
      </c>
      <c r="M12" s="15" t="n">
        <f aca="false">K12*L12</f>
        <v>0</v>
      </c>
      <c r="N12" s="13" t="str">
        <f aca="false">IF(M12&gt;=15,"Critical",IF(M12&gt;=9,"High",IF(M12&gt;=4,"Medium","Low")))</f>
        <v>Low</v>
      </c>
    </row>
    <row r="13" customFormat="false" ht="15" hidden="false" customHeight="false" outlineLevel="0" collapsed="false">
      <c r="A13" s="12" t="n">
        <v>12</v>
      </c>
      <c r="H13" s="15" t="n">
        <f aca="false">F13*G13</f>
        <v>0</v>
      </c>
      <c r="I13" s="13" t="str">
        <f aca="false">IF(H13&gt;=15,"Critical",IF(H13&gt;=9,"High",IF(H13&gt;=4,"Medium","Low")))</f>
        <v>Low</v>
      </c>
      <c r="M13" s="15" t="n">
        <f aca="false">K13*L13</f>
        <v>0</v>
      </c>
      <c r="N13" s="13" t="str">
        <f aca="false">IF(M13&gt;=15,"Critical",IF(M13&gt;=9,"High",IF(M13&gt;=4,"Medium","Low")))</f>
        <v>Low</v>
      </c>
    </row>
    <row r="14" customFormat="false" ht="15" hidden="false" customHeight="false" outlineLevel="0" collapsed="false">
      <c r="A14" s="12" t="n">
        <v>13</v>
      </c>
      <c r="H14" s="15" t="n">
        <f aca="false">F14*G14</f>
        <v>0</v>
      </c>
      <c r="I14" s="13" t="str">
        <f aca="false">IF(H14&gt;=15,"Critical",IF(H14&gt;=9,"High",IF(H14&gt;=4,"Medium","Low")))</f>
        <v>Low</v>
      </c>
      <c r="M14" s="15" t="n">
        <f aca="false">K14*L14</f>
        <v>0</v>
      </c>
      <c r="N14" s="13" t="str">
        <f aca="false">IF(M14&gt;=15,"Critical",IF(M14&gt;=9,"High",IF(M14&gt;=4,"Medium","Low")))</f>
        <v>Low</v>
      </c>
    </row>
    <row r="15" customFormat="false" ht="15" hidden="false" customHeight="false" outlineLevel="0" collapsed="false">
      <c r="A15" s="12" t="n">
        <v>14</v>
      </c>
      <c r="H15" s="15" t="n">
        <f aca="false">F15*G15</f>
        <v>0</v>
      </c>
      <c r="I15" s="13" t="str">
        <f aca="false">IF(H15&gt;=15,"Critical",IF(H15&gt;=9,"High",IF(H15&gt;=4,"Medium","Low")))</f>
        <v>Low</v>
      </c>
      <c r="M15" s="15" t="n">
        <f aca="false">K15*L15</f>
        <v>0</v>
      </c>
      <c r="N15" s="13" t="str">
        <f aca="false">IF(M15&gt;=15,"Critical",IF(M15&gt;=9,"High",IF(M15&gt;=4,"Medium","Low")))</f>
        <v>Low</v>
      </c>
    </row>
    <row r="16" customFormat="false" ht="15" hidden="false" customHeight="false" outlineLevel="0" collapsed="false">
      <c r="A16" s="12" t="n">
        <v>15</v>
      </c>
      <c r="H16" s="15" t="n">
        <f aca="false">F16*G16</f>
        <v>0</v>
      </c>
      <c r="I16" s="13" t="str">
        <f aca="false">IF(H16&gt;=15,"Critical",IF(H16&gt;=9,"High",IF(H16&gt;=4,"Medium","Low")))</f>
        <v>Low</v>
      </c>
      <c r="M16" s="15" t="n">
        <f aca="false">K16*L16</f>
        <v>0</v>
      </c>
      <c r="N16" s="13" t="str">
        <f aca="false">IF(M16&gt;=15,"Critical",IF(M16&gt;=9,"High",IF(M16&gt;=4,"Medium","Low")))</f>
        <v>Low</v>
      </c>
    </row>
    <row r="17" customFormat="false" ht="15" hidden="false" customHeight="false" outlineLevel="0" collapsed="false">
      <c r="A17" s="12" t="n">
        <v>16</v>
      </c>
      <c r="H17" s="15" t="n">
        <f aca="false">F17*G17</f>
        <v>0</v>
      </c>
      <c r="I17" s="13" t="str">
        <f aca="false">IF(H17&gt;=15,"Critical",IF(H17&gt;=9,"High",IF(H17&gt;=4,"Medium","Low")))</f>
        <v>Low</v>
      </c>
      <c r="M17" s="15" t="n">
        <f aca="false">K17*L17</f>
        <v>0</v>
      </c>
      <c r="N17" s="13" t="str">
        <f aca="false">IF(M17&gt;=15,"Critical",IF(M17&gt;=9,"High",IF(M17&gt;=4,"Medium","Low")))</f>
        <v>Low</v>
      </c>
    </row>
    <row r="18" customFormat="false" ht="15" hidden="false" customHeight="false" outlineLevel="0" collapsed="false">
      <c r="A18" s="12" t="n">
        <v>17</v>
      </c>
      <c r="H18" s="15" t="n">
        <f aca="false">F18*G18</f>
        <v>0</v>
      </c>
      <c r="I18" s="13" t="str">
        <f aca="false">IF(H18&gt;=15,"Critical",IF(H18&gt;=9,"High",IF(H18&gt;=4,"Medium","Low")))</f>
        <v>Low</v>
      </c>
      <c r="M18" s="15" t="n">
        <f aca="false">K18*L18</f>
        <v>0</v>
      </c>
      <c r="N18" s="13" t="str">
        <f aca="false">IF(M18&gt;=15,"Critical",IF(M18&gt;=9,"High",IF(M18&gt;=4,"Medium","Low")))</f>
        <v>Low</v>
      </c>
    </row>
    <row r="19" customFormat="false" ht="15" hidden="false" customHeight="false" outlineLevel="0" collapsed="false">
      <c r="A19" s="12" t="n">
        <v>18</v>
      </c>
      <c r="H19" s="15" t="n">
        <f aca="false">F19*G19</f>
        <v>0</v>
      </c>
      <c r="I19" s="13" t="str">
        <f aca="false">IF(H19&gt;=15,"Critical",IF(H19&gt;=9,"High",IF(H19&gt;=4,"Medium","Low")))</f>
        <v>Low</v>
      </c>
      <c r="M19" s="15" t="n">
        <f aca="false">K19*L19</f>
        <v>0</v>
      </c>
      <c r="N19" s="13" t="str">
        <f aca="false">IF(M19&gt;=15,"Critical",IF(M19&gt;=9,"High",IF(M19&gt;=4,"Medium","Low")))</f>
        <v>Low</v>
      </c>
    </row>
    <row r="20" customFormat="false" ht="15" hidden="false" customHeight="false" outlineLevel="0" collapsed="false">
      <c r="A20" s="12" t="n">
        <v>19</v>
      </c>
      <c r="H20" s="15" t="n">
        <f aca="false">F20*G20</f>
        <v>0</v>
      </c>
      <c r="I20" s="13" t="str">
        <f aca="false">IF(H20&gt;=15,"Critical",IF(H20&gt;=9,"High",IF(H20&gt;=4,"Medium","Low")))</f>
        <v>Low</v>
      </c>
      <c r="M20" s="15" t="n">
        <f aca="false">K20*L20</f>
        <v>0</v>
      </c>
      <c r="N20" s="13" t="str">
        <f aca="false">IF(M20&gt;=15,"Critical",IF(M20&gt;=9,"High",IF(M20&gt;=4,"Medium","Low")))</f>
        <v>Low</v>
      </c>
    </row>
    <row r="21" customFormat="false" ht="15" hidden="false" customHeight="false" outlineLevel="0" collapsed="false">
      <c r="A21" s="12" t="n">
        <v>20</v>
      </c>
      <c r="H21" s="15" t="n">
        <f aca="false">F21*G21</f>
        <v>0</v>
      </c>
      <c r="I21" s="13" t="str">
        <f aca="false">IF(H21&gt;=15,"Critical",IF(H21&gt;=9,"High",IF(H21&gt;=4,"Medium","Low")))</f>
        <v>Low</v>
      </c>
      <c r="M21" s="15" t="n">
        <f aca="false">K21*L21</f>
        <v>0</v>
      </c>
      <c r="N21" s="13" t="str">
        <f aca="false">IF(M21&gt;=15,"Critical",IF(M21&gt;=9,"High",IF(M21&gt;=4,"Medium","Low")))</f>
        <v>Low</v>
      </c>
    </row>
    <row r="22" customFormat="false" ht="15" hidden="false" customHeight="false" outlineLevel="0" collapsed="false">
      <c r="A22" s="12" t="n">
        <v>21</v>
      </c>
      <c r="H22" s="15" t="n">
        <f aca="false">F22*G22</f>
        <v>0</v>
      </c>
      <c r="I22" s="13" t="str">
        <f aca="false">IF(H22&gt;=15,"Critical",IF(H22&gt;=9,"High",IF(H22&gt;=4,"Medium","Low")))</f>
        <v>Low</v>
      </c>
      <c r="M22" s="15" t="n">
        <f aca="false">K22*L22</f>
        <v>0</v>
      </c>
      <c r="N22" s="13" t="str">
        <f aca="false">IF(M22&gt;=15,"Critical",IF(M22&gt;=9,"High",IF(M22&gt;=4,"Medium","Low")))</f>
        <v>Low</v>
      </c>
    </row>
    <row r="23" customFormat="false" ht="15" hidden="false" customHeight="false" outlineLevel="0" collapsed="false">
      <c r="A23" s="12" t="n">
        <v>22</v>
      </c>
      <c r="H23" s="15" t="n">
        <f aca="false">F23*G23</f>
        <v>0</v>
      </c>
      <c r="I23" s="13" t="str">
        <f aca="false">IF(H23&gt;=15,"Critical",IF(H23&gt;=9,"High",IF(H23&gt;=4,"Medium","Low")))</f>
        <v>Low</v>
      </c>
      <c r="M23" s="15" t="n">
        <f aca="false">K23*L23</f>
        <v>0</v>
      </c>
      <c r="N23" s="13" t="str">
        <f aca="false">IF(M23&gt;=15,"Critical",IF(M23&gt;=9,"High",IF(M23&gt;=4,"Medium","Low")))</f>
        <v>Low</v>
      </c>
    </row>
    <row r="24" customFormat="false" ht="15" hidden="false" customHeight="false" outlineLevel="0" collapsed="false">
      <c r="A24" s="12" t="n">
        <v>23</v>
      </c>
      <c r="H24" s="15" t="n">
        <f aca="false">F24*G24</f>
        <v>0</v>
      </c>
      <c r="I24" s="13" t="str">
        <f aca="false">IF(H24&gt;=15,"Critical",IF(H24&gt;=9,"High",IF(H24&gt;=4,"Medium","Low")))</f>
        <v>Low</v>
      </c>
      <c r="M24" s="15" t="n">
        <f aca="false">K24*L24</f>
        <v>0</v>
      </c>
      <c r="N24" s="13" t="str">
        <f aca="false">IF(M24&gt;=15,"Critical",IF(M24&gt;=9,"High",IF(M24&gt;=4,"Medium","Low")))</f>
        <v>Low</v>
      </c>
    </row>
    <row r="25" customFormat="false" ht="15" hidden="false" customHeight="false" outlineLevel="0" collapsed="false">
      <c r="A25" s="12" t="n">
        <v>24</v>
      </c>
      <c r="H25" s="15" t="n">
        <f aca="false">F25*G25</f>
        <v>0</v>
      </c>
      <c r="I25" s="13" t="str">
        <f aca="false">IF(H25&gt;=15,"Critical",IF(H25&gt;=9,"High",IF(H25&gt;=4,"Medium","Low")))</f>
        <v>Low</v>
      </c>
      <c r="M25" s="15" t="n">
        <f aca="false">K25*L25</f>
        <v>0</v>
      </c>
      <c r="N25" s="13" t="str">
        <f aca="false">IF(M25&gt;=15,"Critical",IF(M25&gt;=9,"High",IF(M25&gt;=4,"Medium","Low")))</f>
        <v>Low</v>
      </c>
    </row>
    <row r="26" customFormat="false" ht="15" hidden="false" customHeight="false" outlineLevel="0" collapsed="false">
      <c r="A26" s="12" t="n">
        <v>25</v>
      </c>
      <c r="H26" s="15" t="n">
        <f aca="false">F26*G26</f>
        <v>0</v>
      </c>
      <c r="I26" s="13" t="str">
        <f aca="false">IF(H26&gt;=15,"Critical",IF(H26&gt;=9,"High",IF(H26&gt;=4,"Medium","Low")))</f>
        <v>Low</v>
      </c>
      <c r="M26" s="15" t="n">
        <f aca="false">K26*L26</f>
        <v>0</v>
      </c>
      <c r="N26" s="13" t="str">
        <f aca="false">IF(M26&gt;=15,"Critical",IF(M26&gt;=9,"High",IF(M26&gt;=4,"Medium","Low")))</f>
        <v>Low</v>
      </c>
    </row>
    <row r="27" customFormat="false" ht="15" hidden="false" customHeight="false" outlineLevel="0" collapsed="false">
      <c r="A27" s="12" t="n">
        <v>26</v>
      </c>
      <c r="H27" s="15" t="n">
        <f aca="false">F27*G27</f>
        <v>0</v>
      </c>
      <c r="I27" s="13" t="str">
        <f aca="false">IF(H27&gt;=15,"Critical",IF(H27&gt;=9,"High",IF(H27&gt;=4,"Medium","Low")))</f>
        <v>Low</v>
      </c>
      <c r="M27" s="15" t="n">
        <f aca="false">K27*L27</f>
        <v>0</v>
      </c>
      <c r="N27" s="13" t="str">
        <f aca="false">IF(M27&gt;=15,"Critical",IF(M27&gt;=9,"High",IF(M27&gt;=4,"Medium","Low")))</f>
        <v>Low</v>
      </c>
    </row>
    <row r="28" customFormat="false" ht="15" hidden="false" customHeight="false" outlineLevel="0" collapsed="false">
      <c r="A28" s="12" t="n">
        <v>27</v>
      </c>
      <c r="H28" s="15" t="n">
        <f aca="false">F28*G28</f>
        <v>0</v>
      </c>
      <c r="I28" s="13" t="str">
        <f aca="false">IF(H28&gt;=15,"Critical",IF(H28&gt;=9,"High",IF(H28&gt;=4,"Medium","Low")))</f>
        <v>Low</v>
      </c>
      <c r="M28" s="15" t="n">
        <f aca="false">K28*L28</f>
        <v>0</v>
      </c>
      <c r="N28" s="13" t="str">
        <f aca="false">IF(M28&gt;=15,"Critical",IF(M28&gt;=9,"High",IF(M28&gt;=4,"Medium","Low")))</f>
        <v>Low</v>
      </c>
    </row>
    <row r="29" customFormat="false" ht="15" hidden="false" customHeight="false" outlineLevel="0" collapsed="false">
      <c r="A29" s="12" t="n">
        <v>28</v>
      </c>
      <c r="H29" s="15" t="n">
        <f aca="false">F29*G29</f>
        <v>0</v>
      </c>
      <c r="I29" s="13" t="str">
        <f aca="false">IF(H29&gt;=15,"Critical",IF(H29&gt;=9,"High",IF(H29&gt;=4,"Medium","Low")))</f>
        <v>Low</v>
      </c>
      <c r="M29" s="15" t="n">
        <f aca="false">K29*L29</f>
        <v>0</v>
      </c>
      <c r="N29" s="13" t="str">
        <f aca="false">IF(M29&gt;=15,"Critical",IF(M29&gt;=9,"High",IF(M29&gt;=4,"Medium","Low")))</f>
        <v>Low</v>
      </c>
    </row>
    <row r="30" customFormat="false" ht="15" hidden="false" customHeight="false" outlineLevel="0" collapsed="false">
      <c r="A30" s="12" t="n">
        <v>29</v>
      </c>
      <c r="H30" s="15" t="n">
        <f aca="false">F30*G30</f>
        <v>0</v>
      </c>
      <c r="I30" s="13" t="str">
        <f aca="false">IF(H30&gt;=15,"Critical",IF(H30&gt;=9,"High",IF(H30&gt;=4,"Medium","Low")))</f>
        <v>Low</v>
      </c>
      <c r="M30" s="15" t="n">
        <f aca="false">K30*L30</f>
        <v>0</v>
      </c>
      <c r="N30" s="13" t="str">
        <f aca="false">IF(M30&gt;=15,"Critical",IF(M30&gt;=9,"High",IF(M30&gt;=4,"Medium","Low")))</f>
        <v>Low</v>
      </c>
    </row>
    <row r="31" customFormat="false" ht="15" hidden="false" customHeight="false" outlineLevel="0" collapsed="false">
      <c r="A31" s="12" t="n">
        <v>30</v>
      </c>
      <c r="H31" s="15" t="n">
        <f aca="false">F31*G31</f>
        <v>0</v>
      </c>
      <c r="I31" s="13" t="str">
        <f aca="false">IF(H31&gt;=15,"Critical",IF(H31&gt;=9,"High",IF(H31&gt;=4,"Medium","Low")))</f>
        <v>Low</v>
      </c>
      <c r="M31" s="15" t="n">
        <f aca="false">K31*L31</f>
        <v>0</v>
      </c>
      <c r="N31" s="13" t="str">
        <f aca="false">IF(M31&gt;=15,"Critical",IF(M31&gt;=9,"High",IF(M31&gt;=4,"Medium","Low")))</f>
        <v>Low</v>
      </c>
    </row>
    <row r="32" customFormat="false" ht="15" hidden="false" customHeight="false" outlineLevel="0" collapsed="false">
      <c r="A32" s="12" t="n">
        <v>31</v>
      </c>
      <c r="H32" s="15" t="n">
        <f aca="false">F32*G32</f>
        <v>0</v>
      </c>
      <c r="I32" s="13" t="str">
        <f aca="false">IF(H32&gt;=15,"Critical",IF(H32&gt;=9,"High",IF(H32&gt;=4,"Medium","Low")))</f>
        <v>Low</v>
      </c>
      <c r="M32" s="15" t="n">
        <f aca="false">K32*L32</f>
        <v>0</v>
      </c>
      <c r="N32" s="13" t="str">
        <f aca="false">IF(M32&gt;=15,"Critical",IF(M32&gt;=9,"High",IF(M32&gt;=4,"Medium","Low")))</f>
        <v>Low</v>
      </c>
    </row>
    <row r="33" customFormat="false" ht="15" hidden="false" customHeight="false" outlineLevel="0" collapsed="false">
      <c r="A33" s="12" t="n">
        <v>32</v>
      </c>
      <c r="H33" s="15" t="n">
        <f aca="false">F33*G33</f>
        <v>0</v>
      </c>
      <c r="I33" s="13" t="str">
        <f aca="false">IF(H33&gt;=15,"Critical",IF(H33&gt;=9,"High",IF(H33&gt;=4,"Medium","Low")))</f>
        <v>Low</v>
      </c>
      <c r="M33" s="15" t="n">
        <f aca="false">K33*L33</f>
        <v>0</v>
      </c>
      <c r="N33" s="13" t="str">
        <f aca="false">IF(M33&gt;=15,"Critical",IF(M33&gt;=9,"High",IF(M33&gt;=4,"Medium","Low")))</f>
        <v>Low</v>
      </c>
    </row>
    <row r="34" customFormat="false" ht="15" hidden="false" customHeight="false" outlineLevel="0" collapsed="false">
      <c r="A34" s="12" t="n">
        <v>33</v>
      </c>
      <c r="H34" s="15" t="n">
        <f aca="false">F34*G34</f>
        <v>0</v>
      </c>
      <c r="I34" s="13" t="str">
        <f aca="false">IF(H34&gt;=15,"Critical",IF(H34&gt;=9,"High",IF(H34&gt;=4,"Medium","Low")))</f>
        <v>Low</v>
      </c>
      <c r="M34" s="15" t="n">
        <f aca="false">K34*L34</f>
        <v>0</v>
      </c>
      <c r="N34" s="13" t="str">
        <f aca="false">IF(M34&gt;=15,"Critical",IF(M34&gt;=9,"High",IF(M34&gt;=4,"Medium","Low")))</f>
        <v>Low</v>
      </c>
    </row>
    <row r="35" customFormat="false" ht="15" hidden="false" customHeight="false" outlineLevel="0" collapsed="false">
      <c r="A35" s="12" t="n">
        <v>34</v>
      </c>
      <c r="H35" s="15" t="n">
        <f aca="false">F35*G35</f>
        <v>0</v>
      </c>
      <c r="I35" s="13" t="str">
        <f aca="false">IF(H35&gt;=15,"Critical",IF(H35&gt;=9,"High",IF(H35&gt;=4,"Medium","Low")))</f>
        <v>Low</v>
      </c>
      <c r="M35" s="15" t="n">
        <f aca="false">K35*L35</f>
        <v>0</v>
      </c>
      <c r="N35" s="13" t="str">
        <f aca="false">IF(M35&gt;=15,"Critical",IF(M35&gt;=9,"High",IF(M35&gt;=4,"Medium","Low")))</f>
        <v>Low</v>
      </c>
    </row>
    <row r="36" customFormat="false" ht="15" hidden="false" customHeight="false" outlineLevel="0" collapsed="false">
      <c r="A36" s="12" t="n">
        <v>35</v>
      </c>
      <c r="H36" s="15" t="n">
        <f aca="false">F36*G36</f>
        <v>0</v>
      </c>
      <c r="I36" s="13" t="str">
        <f aca="false">IF(H36&gt;=15,"Critical",IF(H36&gt;=9,"High",IF(H36&gt;=4,"Medium","Low")))</f>
        <v>Low</v>
      </c>
      <c r="M36" s="15" t="n">
        <f aca="false">K36*L36</f>
        <v>0</v>
      </c>
      <c r="N36" s="13" t="str">
        <f aca="false">IF(M36&gt;=15,"Critical",IF(M36&gt;=9,"High",IF(M36&gt;=4,"Medium","Low")))</f>
        <v>Low</v>
      </c>
    </row>
    <row r="37" customFormat="false" ht="15" hidden="false" customHeight="false" outlineLevel="0" collapsed="false">
      <c r="A37" s="12" t="n">
        <v>36</v>
      </c>
      <c r="H37" s="15" t="n">
        <f aca="false">F37*G37</f>
        <v>0</v>
      </c>
      <c r="I37" s="13" t="str">
        <f aca="false">IF(H37&gt;=15,"Critical",IF(H37&gt;=9,"High",IF(H37&gt;=4,"Medium","Low")))</f>
        <v>Low</v>
      </c>
      <c r="M37" s="15" t="n">
        <f aca="false">K37*L37</f>
        <v>0</v>
      </c>
      <c r="N37" s="13" t="str">
        <f aca="false">IF(M37&gt;=15,"Critical",IF(M37&gt;=9,"High",IF(M37&gt;=4,"Medium","Low")))</f>
        <v>Low</v>
      </c>
    </row>
    <row r="38" customFormat="false" ht="15" hidden="false" customHeight="false" outlineLevel="0" collapsed="false">
      <c r="A38" s="12" t="n">
        <v>37</v>
      </c>
      <c r="H38" s="15" t="n">
        <f aca="false">F38*G38</f>
        <v>0</v>
      </c>
      <c r="I38" s="13" t="str">
        <f aca="false">IF(H38&gt;=15,"Critical",IF(H38&gt;=9,"High",IF(H38&gt;=4,"Medium","Low")))</f>
        <v>Low</v>
      </c>
      <c r="M38" s="15" t="n">
        <f aca="false">K38*L38</f>
        <v>0</v>
      </c>
      <c r="N38" s="13" t="str">
        <f aca="false">IF(M38&gt;=15,"Critical",IF(M38&gt;=9,"High",IF(M38&gt;=4,"Medium","Low")))</f>
        <v>Low</v>
      </c>
    </row>
    <row r="39" customFormat="false" ht="15" hidden="false" customHeight="false" outlineLevel="0" collapsed="false">
      <c r="A39" s="12" t="n">
        <v>38</v>
      </c>
      <c r="H39" s="15" t="n">
        <f aca="false">F39*G39</f>
        <v>0</v>
      </c>
      <c r="I39" s="13" t="str">
        <f aca="false">IF(H39&gt;=15,"Critical",IF(H39&gt;=9,"High",IF(H39&gt;=4,"Medium","Low")))</f>
        <v>Low</v>
      </c>
      <c r="M39" s="15" t="n">
        <f aca="false">K39*L39</f>
        <v>0</v>
      </c>
      <c r="N39" s="13" t="str">
        <f aca="false">IF(M39&gt;=15,"Critical",IF(M39&gt;=9,"High",IF(M39&gt;=4,"Medium","Low")))</f>
        <v>Low</v>
      </c>
    </row>
    <row r="40" customFormat="false" ht="15" hidden="false" customHeight="false" outlineLevel="0" collapsed="false">
      <c r="A40" s="12" t="n">
        <v>39</v>
      </c>
      <c r="H40" s="15" t="n">
        <f aca="false">F40*G40</f>
        <v>0</v>
      </c>
      <c r="I40" s="13" t="str">
        <f aca="false">IF(H40&gt;=15,"Critical",IF(H40&gt;=9,"High",IF(H40&gt;=4,"Medium","Low")))</f>
        <v>Low</v>
      </c>
      <c r="M40" s="15" t="n">
        <f aca="false">K40*L40</f>
        <v>0</v>
      </c>
      <c r="N40" s="13" t="str">
        <f aca="false">IF(M40&gt;=15,"Critical",IF(M40&gt;=9,"High",IF(M40&gt;=4,"Medium","Low")))</f>
        <v>Low</v>
      </c>
    </row>
    <row r="41" customFormat="false" ht="15" hidden="false" customHeight="false" outlineLevel="0" collapsed="false">
      <c r="A41" s="12" t="n">
        <v>40</v>
      </c>
      <c r="H41" s="15" t="n">
        <f aca="false">F41*G41</f>
        <v>0</v>
      </c>
      <c r="I41" s="13" t="str">
        <f aca="false">IF(H41&gt;=15,"Critical",IF(H41&gt;=9,"High",IF(H41&gt;=4,"Medium","Low")))</f>
        <v>Low</v>
      </c>
      <c r="M41" s="15" t="n">
        <f aca="false">K41*L41</f>
        <v>0</v>
      </c>
      <c r="N41" s="13" t="str">
        <f aca="false">IF(M41&gt;=15,"Critical",IF(M41&gt;=9,"High",IF(M41&gt;=4,"Medium","Low")))</f>
        <v>Low</v>
      </c>
    </row>
  </sheetData>
  <autoFilter ref="A1:R41"/>
  <conditionalFormatting sqref="H2:H41">
    <cfRule type="cellIs" priority="2" operator="greaterThanOrEqual" aboveAverage="0" equalAverage="0" bottom="0" percent="0" rank="0" text="" dxfId="9">
      <formula>15</formula>
    </cfRule>
    <cfRule type="cellIs" priority="3" operator="between" aboveAverage="0" equalAverage="0" bottom="0" percent="0" rank="0" text="" dxfId="10">
      <formula>9</formula>
      <formula>14</formula>
    </cfRule>
    <cfRule type="cellIs" priority="4" operator="between" aboveAverage="0" equalAverage="0" bottom="0" percent="0" rank="0" text="" dxfId="11">
      <formula>4</formula>
      <formula>8</formula>
    </cfRule>
    <cfRule type="cellIs" priority="5" operator="lessThan" aboveAverage="0" equalAverage="0" bottom="0" percent="0" rank="0" text="" dxfId="12">
      <formula>4</formula>
    </cfRule>
  </conditionalFormatting>
  <conditionalFormatting sqref="M2:M41">
    <cfRule type="cellIs" priority="6" operator="greaterThanOrEqual" aboveAverage="0" equalAverage="0" bottom="0" percent="0" rank="0" text="" dxfId="9">
      <formula>15</formula>
    </cfRule>
    <cfRule type="cellIs" priority="7" operator="between" aboveAverage="0" equalAverage="0" bottom="0" percent="0" rank="0" text="" dxfId="10">
      <formula>9</formula>
      <formula>14</formula>
    </cfRule>
    <cfRule type="cellIs" priority="8" operator="between" aboveAverage="0" equalAverage="0" bottom="0" percent="0" rank="0" text="" dxfId="11">
      <formula>4</formula>
      <formula>8</formula>
    </cfRule>
    <cfRule type="cellIs" priority="9" operator="lessThan" aboveAverage="0" equalAverage="0" bottom="0" percent="0" rank="0" text="" dxfId="12">
      <formula>4</formula>
    </cfRule>
  </conditionalFormatting>
  <dataValidations count="3">
    <dataValidation allowBlank="true" errorStyle="stop" operator="between" showDropDown="false" showErrorMessage="false" showInputMessage="false" sqref="D2:D41" type="list">
      <formula1>"Clinical,Operational,Financial,Compliance,Safety,Equipment,IT/Data,Personnel,Facility"</formula1>
      <formula2>0</formula2>
    </dataValidation>
    <dataValidation allowBlank="true" errorStyle="stop" operator="between" showDropDown="false" showErrorMessage="false" showInputMessage="false" sqref="Q2:Q41" type="list">
      <formula1>"Open,Mitigated,Closed,Monitoring,Escalated"</formula1>
      <formula2>0</formula2>
    </dataValidation>
    <dataValidation allowBlank="true" errorStyle="stop" operator="between" showDropDown="false" showErrorMessage="false" showInputMessage="false" sqref="O2:O41" type="list">
      <formula1>"Lab Manager,Quality Manager,Medical Director,Safety Officer,IT Manager,HR Manager"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7" min="3" style="0" width="16"/>
  </cols>
  <sheetData>
    <row r="2" customFormat="false" ht="27.75" hidden="false" customHeight="true" outlineLevel="0" collapsed="false">
      <c r="B2" s="16" t="s">
        <v>105</v>
      </c>
      <c r="C2" s="16"/>
      <c r="D2" s="16"/>
      <c r="E2" s="16"/>
      <c r="F2" s="16"/>
      <c r="G2" s="16"/>
    </row>
    <row r="4" customFormat="false" ht="30" hidden="false" customHeight="true" outlineLevel="0" collapsed="false">
      <c r="B4" s="17" t="s">
        <v>106</v>
      </c>
      <c r="C4" s="17"/>
    </row>
    <row r="5" customFormat="false" ht="36" hidden="false" customHeight="true" outlineLevel="0" collapsed="false">
      <c r="C5" s="11" t="s">
        <v>107</v>
      </c>
      <c r="D5" s="11" t="s">
        <v>108</v>
      </c>
      <c r="E5" s="11" t="s">
        <v>109</v>
      </c>
      <c r="F5" s="11" t="s">
        <v>110</v>
      </c>
      <c r="G5" s="11" t="s">
        <v>111</v>
      </c>
    </row>
    <row r="6" customFormat="false" ht="30" hidden="false" customHeight="true" outlineLevel="0" collapsed="false">
      <c r="B6" s="11" t="s">
        <v>111</v>
      </c>
      <c r="C6" s="18" t="n">
        <v>5</v>
      </c>
      <c r="D6" s="19" t="n">
        <v>10</v>
      </c>
      <c r="E6" s="20" t="n">
        <v>15</v>
      </c>
      <c r="F6" s="20" t="n">
        <v>20</v>
      </c>
      <c r="G6" s="20" t="n">
        <v>25</v>
      </c>
    </row>
    <row r="7" customFormat="false" ht="30" hidden="false" customHeight="true" outlineLevel="0" collapsed="false">
      <c r="B7" s="11" t="s">
        <v>110</v>
      </c>
      <c r="C7" s="18" t="n">
        <v>4</v>
      </c>
      <c r="D7" s="18" t="n">
        <v>8</v>
      </c>
      <c r="E7" s="19" t="n">
        <v>12</v>
      </c>
      <c r="F7" s="20" t="n">
        <v>16</v>
      </c>
      <c r="G7" s="20" t="n">
        <v>20</v>
      </c>
    </row>
    <row r="8" customFormat="false" ht="30" hidden="false" customHeight="true" outlineLevel="0" collapsed="false">
      <c r="B8" s="11" t="s">
        <v>109</v>
      </c>
      <c r="C8" s="21" t="n">
        <v>3</v>
      </c>
      <c r="D8" s="18" t="n">
        <v>6</v>
      </c>
      <c r="E8" s="19" t="n">
        <v>9</v>
      </c>
      <c r="F8" s="19" t="n">
        <v>12</v>
      </c>
      <c r="G8" s="20" t="n">
        <v>15</v>
      </c>
    </row>
    <row r="9" customFormat="false" ht="30" hidden="false" customHeight="true" outlineLevel="0" collapsed="false">
      <c r="B9" s="11" t="s">
        <v>108</v>
      </c>
      <c r="C9" s="21" t="n">
        <v>2</v>
      </c>
      <c r="D9" s="18" t="n">
        <v>4</v>
      </c>
      <c r="E9" s="18" t="n">
        <v>6</v>
      </c>
      <c r="F9" s="18" t="n">
        <v>8</v>
      </c>
      <c r="G9" s="19" t="n">
        <v>10</v>
      </c>
    </row>
    <row r="10" customFormat="false" ht="30" hidden="false" customHeight="true" outlineLevel="0" collapsed="false">
      <c r="B10" s="11" t="s">
        <v>107</v>
      </c>
      <c r="C10" s="21" t="n">
        <v>1</v>
      </c>
      <c r="D10" s="21" t="n">
        <v>2</v>
      </c>
      <c r="E10" s="21" t="n">
        <v>3</v>
      </c>
      <c r="F10" s="18" t="n">
        <v>4</v>
      </c>
      <c r="G10" s="18" t="n">
        <v>5</v>
      </c>
    </row>
    <row r="12" customFormat="false" ht="15" hidden="false" customHeight="false" outlineLevel="0" collapsed="false">
      <c r="B12" s="22" t="s">
        <v>112</v>
      </c>
      <c r="C12" s="23" t="s">
        <v>113</v>
      </c>
      <c r="D12" s="24" t="s">
        <v>114</v>
      </c>
      <c r="E12" s="25" t="s">
        <v>115</v>
      </c>
      <c r="F12" s="26" t="s">
        <v>116</v>
      </c>
    </row>
  </sheetData>
  <mergeCells count="2">
    <mergeCell ref="B2:G2"/>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12" min="2" style="0" width="14"/>
  </cols>
  <sheetData>
    <row r="2" customFormat="false" ht="31.5" hidden="false" customHeight="true" outlineLevel="0" collapsed="false">
      <c r="B2" s="27" t="s">
        <v>117</v>
      </c>
      <c r="C2" s="27"/>
      <c r="D2" s="27"/>
      <c r="E2" s="27"/>
      <c r="F2" s="27"/>
      <c r="G2" s="27"/>
      <c r="H2" s="27"/>
      <c r="I2" s="27"/>
      <c r="J2" s="27"/>
      <c r="K2" s="27"/>
      <c r="L2" s="27"/>
    </row>
    <row r="4" customFormat="false" ht="21.75" hidden="false" customHeight="true" outlineLevel="0" collapsed="false">
      <c r="B4" s="28" t="s">
        <v>118</v>
      </c>
      <c r="C4" s="28"/>
      <c r="D4" s="28" t="s">
        <v>119</v>
      </c>
      <c r="E4" s="28"/>
      <c r="F4" s="28" t="s">
        <v>120</v>
      </c>
      <c r="G4" s="28"/>
      <c r="H4" s="28" t="s">
        <v>121</v>
      </c>
      <c r="I4" s="28"/>
      <c r="J4" s="28" t="s">
        <v>122</v>
      </c>
      <c r="K4" s="28"/>
    </row>
    <row r="5" customFormat="false" ht="19.5" hidden="false" customHeight="true" outlineLevel="0" collapsed="false">
      <c r="B5" s="29" t="n">
        <f aca="false">COUNTA('Risk Register'!B2:B41)</f>
        <v>10</v>
      </c>
      <c r="C5" s="29"/>
      <c r="D5" s="29" t="n">
        <f aca="false">COUNTIF('Risk Register'!I2:I41,"Critical")</f>
        <v>1</v>
      </c>
      <c r="E5" s="29"/>
      <c r="F5" s="29" t="n">
        <f aca="false">COUNTIF('Risk Register'!I2:I41,"High")</f>
        <v>6</v>
      </c>
      <c r="G5" s="29"/>
      <c r="H5" s="29" t="n">
        <f aca="false">COUNTIF('Risk Register'!Q2:Q41,"Open")+COUNTIF('Risk Register'!Q2:Q41,"Escalated")</f>
        <v>0</v>
      </c>
      <c r="I5" s="29"/>
      <c r="J5" s="29" t="n">
        <f aca="false">IFERROR((SUM('Risk Register'!H2:H41)-SUM('Risk Register'!M2:M41))/SUM('Risk Register'!H2:H41)*100,0)</f>
        <v>64.6464646464647</v>
      </c>
      <c r="K5" s="29"/>
    </row>
    <row r="6" customFormat="false" ht="19.5" hidden="false" customHeight="true" outlineLevel="0" collapsed="false">
      <c r="B6" s="29"/>
      <c r="C6" s="29"/>
      <c r="D6" s="29"/>
      <c r="E6" s="29"/>
      <c r="F6" s="29"/>
      <c r="G6" s="29"/>
      <c r="H6" s="29"/>
      <c r="I6" s="29"/>
      <c r="J6" s="29"/>
      <c r="K6" s="29"/>
    </row>
    <row r="9" customFormat="false" ht="24" hidden="false" customHeight="true" outlineLevel="0" collapsed="false">
      <c r="B9" s="30" t="s">
        <v>123</v>
      </c>
      <c r="C9" s="30"/>
      <c r="D9" s="30"/>
      <c r="E9" s="30"/>
      <c r="F9" s="30"/>
      <c r="G9" s="30"/>
    </row>
    <row r="10" customFormat="false" ht="15" hidden="false" customHeight="false" outlineLevel="0" collapsed="false">
      <c r="B10" s="11" t="s">
        <v>51</v>
      </c>
      <c r="C10" s="11" t="s">
        <v>124</v>
      </c>
      <c r="D10" s="11" t="s">
        <v>37</v>
      </c>
      <c r="E10" s="11" t="s">
        <v>33</v>
      </c>
    </row>
    <row r="11" customFormat="false" ht="15" hidden="false" customHeight="false" outlineLevel="0" collapsed="false">
      <c r="B11" s="14" t="s">
        <v>24</v>
      </c>
      <c r="C11" s="13" t="n">
        <f aca="false">COUNTIF('Risk Register'!D2:D41,"Clinical")</f>
        <v>2</v>
      </c>
      <c r="D11" s="12" t="n">
        <f aca="false">COUNTIFS('Risk Register'!D2:D41,"Clinical",'Risk Register'!I2:I41,"Critical")</f>
        <v>1</v>
      </c>
      <c r="E11" s="12" t="n">
        <f aca="false">COUNTIFS('Risk Register'!D2:D41,"Clinical",'Risk Register'!I2:I41,"High")</f>
        <v>1</v>
      </c>
    </row>
    <row r="12" customFormat="false" ht="15" hidden="false" customHeight="false" outlineLevel="0" collapsed="false">
      <c r="B12" s="14" t="s">
        <v>28</v>
      </c>
      <c r="C12" s="13" t="n">
        <f aca="false">COUNTIF('Risk Register'!D2:D41,"Operational")</f>
        <v>1</v>
      </c>
      <c r="D12" s="12" t="n">
        <f aca="false">COUNTIFS('Risk Register'!D2:D41,"Operational",'Risk Register'!I2:I41,"Critical")</f>
        <v>0</v>
      </c>
      <c r="E12" s="12" t="n">
        <f aca="false">COUNTIFS('Risk Register'!D2:D41,"Operational",'Risk Register'!I2:I41,"High")</f>
        <v>1</v>
      </c>
    </row>
    <row r="13" customFormat="false" ht="15" hidden="false" customHeight="false" outlineLevel="0" collapsed="false">
      <c r="B13" s="14" t="s">
        <v>32</v>
      </c>
      <c r="C13" s="13" t="n">
        <f aca="false">COUNTIF('Risk Register'!D2:D41,"Financial")</f>
        <v>1</v>
      </c>
      <c r="D13" s="12" t="n">
        <f aca="false">COUNTIFS('Risk Register'!D2:D41,"Financial",'Risk Register'!I2:I41,"Critical")</f>
        <v>0</v>
      </c>
      <c r="E13" s="12" t="n">
        <f aca="false">COUNTIFS('Risk Register'!D2:D41,"Financial",'Risk Register'!I2:I41,"High")</f>
        <v>0</v>
      </c>
    </row>
    <row r="14" customFormat="false" ht="15" hidden="false" customHeight="false" outlineLevel="0" collapsed="false">
      <c r="B14" s="14" t="s">
        <v>36</v>
      </c>
      <c r="C14" s="13" t="n">
        <f aca="false">COUNTIF('Risk Register'!D2:D41,"Compliance")</f>
        <v>1</v>
      </c>
      <c r="D14" s="12" t="n">
        <f aca="false">COUNTIFS('Risk Register'!D2:D41,"Compliance",'Risk Register'!I2:I41,"Critical")</f>
        <v>0</v>
      </c>
      <c r="E14" s="12" t="n">
        <f aca="false">COUNTIFS('Risk Register'!D2:D41,"Compliance",'Risk Register'!I2:I41,"High")</f>
        <v>0</v>
      </c>
    </row>
    <row r="15" customFormat="false" ht="15" hidden="false" customHeight="false" outlineLevel="0" collapsed="false">
      <c r="B15" s="14" t="s">
        <v>40</v>
      </c>
      <c r="C15" s="13" t="n">
        <f aca="false">COUNTIF('Risk Register'!D2:D41,"Safety")</f>
        <v>1</v>
      </c>
      <c r="D15" s="12" t="n">
        <f aca="false">COUNTIFS('Risk Register'!D2:D41,"Safety",'Risk Register'!I2:I41,"Critical")</f>
        <v>0</v>
      </c>
      <c r="E15" s="12" t="n">
        <f aca="false">COUNTIFS('Risk Register'!D2:D41,"Safety",'Risk Register'!I2:I41,"High")</f>
        <v>1</v>
      </c>
    </row>
    <row r="16" customFormat="false" ht="15" hidden="false" customHeight="false" outlineLevel="0" collapsed="false">
      <c r="B16" s="14" t="s">
        <v>43</v>
      </c>
      <c r="C16" s="13" t="n">
        <f aca="false">COUNTIF('Risk Register'!D2:D41,"Equipment")</f>
        <v>1</v>
      </c>
      <c r="D16" s="12" t="n">
        <f aca="false">COUNTIFS('Risk Register'!D2:D41,"Equipment",'Risk Register'!I2:I41,"Critical")</f>
        <v>0</v>
      </c>
      <c r="E16" s="12" t="n">
        <f aca="false">COUNTIFS('Risk Register'!D2:D41,"Equipment",'Risk Register'!I2:I41,"High")</f>
        <v>1</v>
      </c>
    </row>
    <row r="17" customFormat="false" ht="15" hidden="false" customHeight="false" outlineLevel="0" collapsed="false">
      <c r="B17" s="14" t="s">
        <v>45</v>
      </c>
      <c r="C17" s="13" t="n">
        <f aca="false">COUNTIF('Risk Register'!D2:D41,"IT/Data")</f>
        <v>1</v>
      </c>
      <c r="D17" s="12" t="n">
        <f aca="false">COUNTIFS('Risk Register'!D2:D41,"IT/Data",'Risk Register'!I2:I41,"Critical")</f>
        <v>0</v>
      </c>
      <c r="E17" s="12" t="n">
        <f aca="false">COUNTIFS('Risk Register'!D2:D41,"IT/Data",'Risk Register'!I2:I41,"High")</f>
        <v>1</v>
      </c>
    </row>
    <row r="18" customFormat="false" ht="15" hidden="false" customHeight="false" outlineLevel="0" collapsed="false">
      <c r="B18" s="14" t="s">
        <v>46</v>
      </c>
      <c r="C18" s="13" t="n">
        <f aca="false">COUNTIF('Risk Register'!D2:D41,"Personnel")</f>
        <v>1</v>
      </c>
      <c r="D18" s="12" t="n">
        <f aca="false">COUNTIFS('Risk Register'!D2:D41,"Personnel",'Risk Register'!I2:I41,"Critical")</f>
        <v>0</v>
      </c>
      <c r="E18" s="12" t="n">
        <f aca="false">COUNTIFS('Risk Register'!D2:D41,"Personnel",'Risk Register'!I2:I41,"High")</f>
        <v>1</v>
      </c>
    </row>
    <row r="19" customFormat="false" ht="15" hidden="false" customHeight="false" outlineLevel="0" collapsed="false">
      <c r="B19" s="14" t="s">
        <v>47</v>
      </c>
      <c r="C19" s="13" t="n">
        <f aca="false">COUNTIF('Risk Register'!D2:D41,"Facility")</f>
        <v>1</v>
      </c>
      <c r="D19" s="12" t="n">
        <f aca="false">COUNTIFS('Risk Register'!D2:D41,"Facility",'Risk Register'!I2:I41,"Critical")</f>
        <v>0</v>
      </c>
      <c r="E19" s="12" t="n">
        <f aca="false">COUNTIFS('Risk Register'!D2:D41,"Facility",'Risk Register'!I2:I41,"High")</f>
        <v>0</v>
      </c>
    </row>
    <row r="22" customFormat="false" ht="24" hidden="false" customHeight="true" outlineLevel="0" collapsed="false">
      <c r="B22" s="30" t="s">
        <v>125</v>
      </c>
      <c r="C22" s="30"/>
      <c r="D22" s="30"/>
      <c r="E22" s="30"/>
      <c r="F22" s="30"/>
      <c r="G22" s="30"/>
    </row>
    <row r="23" customFormat="false" ht="15" hidden="false" customHeight="false" outlineLevel="0" collapsed="false">
      <c r="B23" s="13" t="s">
        <v>65</v>
      </c>
      <c r="C23" s="12" t="n">
        <f aca="false">INDEX('Risk Register'!H2:H41,MATCH("R001",'Risk Register'!B2:B41,0))</f>
        <v>15</v>
      </c>
      <c r="D23" s="12" t="n">
        <f aca="false">INDEX('Risk Register'!M2:M41,MATCH("R001",'Risk Register'!B2:B41,0))</f>
        <v>6</v>
      </c>
    </row>
    <row r="24" customFormat="false" ht="15" hidden="false" customHeight="false" outlineLevel="0" collapsed="false">
      <c r="B24" s="13" t="s">
        <v>69</v>
      </c>
      <c r="C24" s="12" t="n">
        <f aca="false">INDEX('Risk Register'!H2:H41,MATCH("R002",'Risk Register'!B2:B41,0))</f>
        <v>8</v>
      </c>
      <c r="D24" s="12" t="n">
        <f aca="false">INDEX('Risk Register'!M2:M41,MATCH("R002",'Risk Register'!B2:B41,0))</f>
        <v>2</v>
      </c>
    </row>
    <row r="25" customFormat="false" ht="15" hidden="false" customHeight="false" outlineLevel="0" collapsed="false">
      <c r="B25" s="13" t="s">
        <v>73</v>
      </c>
      <c r="C25" s="12" t="n">
        <f aca="false">INDEX('Risk Register'!H2:H41,MATCH("R003",'Risk Register'!B2:B41,0))</f>
        <v>9</v>
      </c>
      <c r="D25" s="12" t="n">
        <f aca="false">INDEX('Risk Register'!M2:M41,MATCH("R003",'Risk Register'!B2:B41,0))</f>
        <v>4</v>
      </c>
    </row>
    <row r="26" customFormat="false" ht="15" hidden="false" customHeight="false" outlineLevel="0" collapsed="false">
      <c r="B26" s="13" t="s">
        <v>77</v>
      </c>
      <c r="C26" s="12" t="n">
        <f aca="false">INDEX('Risk Register'!H2:H41,MATCH("R004",'Risk Register'!B2:B41,0))</f>
        <v>10</v>
      </c>
      <c r="D26" s="12" t="n">
        <f aca="false">INDEX('Risk Register'!M2:M41,MATCH("R004",'Risk Register'!B2:B41,0))</f>
        <v>3</v>
      </c>
    </row>
    <row r="27" customFormat="false" ht="15" hidden="false" customHeight="false" outlineLevel="0" collapsed="false">
      <c r="B27" s="13" t="s">
        <v>81</v>
      </c>
      <c r="C27" s="12" t="n">
        <f aca="false">INDEX('Risk Register'!H2:H41,MATCH("R005",'Risk Register'!B2:B41,0))</f>
        <v>12</v>
      </c>
      <c r="D27" s="12" t="n">
        <f aca="false">INDEX('Risk Register'!M2:M41,MATCH("R005",'Risk Register'!B2:B41,0))</f>
        <v>3</v>
      </c>
    </row>
  </sheetData>
  <mergeCells count="13">
    <mergeCell ref="B2:L2"/>
    <mergeCell ref="B4:C4"/>
    <mergeCell ref="D4:E4"/>
    <mergeCell ref="F4:G4"/>
    <mergeCell ref="H4:I4"/>
    <mergeCell ref="J4:K4"/>
    <mergeCell ref="B5:C6"/>
    <mergeCell ref="D5:E6"/>
    <mergeCell ref="F5:G6"/>
    <mergeCell ref="H5:I6"/>
    <mergeCell ref="J5:K6"/>
    <mergeCell ref="B9:G9"/>
    <mergeCell ref="B22: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2026-10-07T15:54:23Z</dcterms:created>
  <dc:creator>openpyxl</dc:creator>
  <dc:description/>
  <dc:language>en-US</dc:language>
  <cp:lastModifiedBy/>
  <dcterms:modified xsi:type="dcterms:W3CDTF">2026-10-07T15:54:37Z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