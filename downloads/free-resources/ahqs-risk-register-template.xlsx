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Instructions" sheetId="1" state="visible" r:id="rId1"/>
    <sheet xmlns:r="http://schemas.openxmlformats.org/officeDocument/2006/relationships" name="Risk Register" sheetId="2" state="visible" r:id="rId2"/>
    <sheet xmlns:r="http://schemas.openxmlformats.org/officeDocument/2006/relationships" name="Risk Matrix" sheetId="3" state="visible" r:id="rId3"/>
  </sheets>
  <definedNames>
    <definedName name="_xlnm._FilterDatabase" localSheetId="1" hidden="1">'Risk Register'!$A$1:$N$31</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071F3B"/>
      <sz val="20"/>
    </font>
    <font>
      <name val="Calibri"/>
      <i val="1"/>
      <color rgb="00087F83"/>
      <sz val="11"/>
    </font>
    <font>
      <name val="Calibri"/>
      <color rgb="00667789"/>
      <sz val="11"/>
    </font>
    <font>
      <name val="Calibri"/>
      <b val="1"/>
      <color rgb="00071F3B"/>
      <sz val="13"/>
    </font>
    <font>
      <name val="Calibri"/>
      <color rgb="00173047"/>
      <sz val="10"/>
    </font>
    <font>
      <name val="Calibri"/>
      <i val="1"/>
      <color rgb="00667789"/>
      <sz val="9"/>
    </font>
    <font>
      <name val="Calibri"/>
      <color rgb="00667789"/>
      <sz val="9"/>
    </font>
    <font>
      <name val="Calibri"/>
      <b val="1"/>
      <color rgb="00FFFFFF"/>
      <sz val="11"/>
    </font>
    <font>
      <name val="Calibri"/>
      <b val="1"/>
      <color rgb="00071F3B"/>
      <sz val="16"/>
    </font>
    <font>
      <b val="1"/>
      <color rgb="00071F3B"/>
      <sz val="10"/>
    </font>
    <font>
      <b val="1"/>
      <color rgb="00FFFFFF"/>
      <sz val="9"/>
    </font>
    <font>
      <b val="1"/>
      <sz val="11"/>
    </font>
  </fonts>
  <fills count="7">
    <fill>
      <patternFill/>
    </fill>
    <fill>
      <patternFill patternType="gray125"/>
    </fill>
    <fill>
      <patternFill patternType="solid">
        <fgColor rgb="00087F83"/>
        <bgColor rgb="00087F83"/>
      </patternFill>
    </fill>
    <fill>
      <patternFill patternType="solid">
        <fgColor rgb="00FFE066"/>
        <bgColor rgb="00FFE066"/>
      </patternFill>
    </fill>
    <fill>
      <patternFill patternType="solid">
        <fgColor rgb="00FFA94D"/>
        <bgColor rgb="00FFA94D"/>
      </patternFill>
    </fill>
    <fill>
      <patternFill patternType="solid">
        <fgColor rgb="00FF6B6B"/>
        <bgColor rgb="00FF6B6B"/>
      </patternFill>
    </fill>
    <fill>
      <patternFill patternType="solid">
        <fgColor rgb="00C3F6C3"/>
        <bgColor rgb="00C3F6C3"/>
      </patternFill>
    </fill>
  </fills>
  <borders count="2">
    <border>
      <left/>
      <right/>
      <top/>
      <bottom/>
      <diagonal/>
    </border>
    <border>
      <left style="thin">
        <color rgb="00DCE6EB"/>
      </left>
      <right style="thin">
        <color rgb="00DCE6EB"/>
      </right>
      <top style="thin">
        <color rgb="00DCE6EB"/>
      </top>
      <bottom style="thin">
        <color rgb="00DCE6EB"/>
      </bottom>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xf>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pivotButton="0" quotePrefix="0" xfId="0"/>
    <xf numFmtId="0" fontId="8" fillId="2" borderId="1" applyAlignment="1" pivotButton="0" quotePrefix="0" xfId="0">
      <alignment horizontal="center" vertical="center" wrapText="1"/>
    </xf>
    <xf numFmtId="0" fontId="5" fillId="0" borderId="1" applyAlignment="1" pivotButton="0" quotePrefix="0" xfId="0">
      <alignment vertical="center" wrapText="1"/>
    </xf>
    <xf numFmtId="0" fontId="9" fillId="0" borderId="0" pivotButton="0" quotePrefix="0" xfId="0"/>
    <xf numFmtId="0" fontId="10" fillId="0" borderId="0" applyAlignment="1" pivotButton="0" quotePrefix="0" xfId="0">
      <alignment horizontal="center" vertical="center" wrapText="1"/>
    </xf>
    <xf numFmtId="0" fontId="11" fillId="2" borderId="0" applyAlignment="1" pivotButton="0" quotePrefix="0" xfId="0">
      <alignment horizontal="center" wrapText="1"/>
    </xf>
    <xf numFmtId="0" fontId="12" fillId="3" borderId="0" applyAlignment="1" pivotButton="0" quotePrefix="0" xfId="0">
      <alignment horizontal="center" vertical="center"/>
    </xf>
    <xf numFmtId="0" fontId="12" fillId="4" borderId="0" applyAlignment="1" pivotButton="0" quotePrefix="0" xfId="0">
      <alignment horizontal="center" vertical="center"/>
    </xf>
    <xf numFmtId="0" fontId="12" fillId="5" borderId="0" applyAlignment="1" pivotButton="0" quotePrefix="0" xfId="0">
      <alignment horizontal="center" vertical="center"/>
    </xf>
    <xf numFmtId="0" fontId="12" fillId="6" borderId="0" applyAlignment="1" pivotButton="0" quotePrefix="0" xfId="0">
      <alignment horizontal="center" vertical="center"/>
    </xf>
  </cellXfs>
  <cellStyles count="1">
    <cellStyle name="Normal" xfId="0" builtinId="0" hidden="0"/>
  </cellStyles>
  <dxfs count="3">
    <dxf>
      <fill>
        <patternFill patternType="solid">
          <fgColor rgb="00FF6B6B"/>
          <bgColor rgb="00FF6B6B"/>
        </patternFill>
      </fill>
    </dxf>
    <dxf>
      <fill>
        <patternFill patternType="solid">
          <fgColor rgb="00FFA94D"/>
          <bgColor rgb="00FFA94D"/>
        </patternFill>
      </fill>
    </dxf>
    <dxf>
      <fill>
        <patternFill patternType="solid">
          <fgColor rgb="00FFE066"/>
          <bgColor rgb="00FFE06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0</colOff>
      <row>1</row>
      <rowOff>0</rowOff>
    </from>
    <ext cx="933450" cy="571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8:B24"/>
  <sheetViews>
    <sheetView showGridLines="0" workbookViewId="0">
      <selection activeCell="A1" sqref="A1"/>
    </sheetView>
  </sheetViews>
  <sheetFormatPr baseColWidth="8" defaultRowHeight="15"/>
  <cols>
    <col width="4" customWidth="1" min="1" max="1"/>
    <col width="50" customWidth="1" min="2" max="2"/>
    <col width="4" customWidth="1" min="3" max="3"/>
  </cols>
  <sheetData>
    <row r="8">
      <c r="B8" s="1" t="inlineStr">
        <is>
          <t>Risk Register Template</t>
        </is>
      </c>
    </row>
    <row r="9">
      <c r="B9" s="2" t="inlineStr">
        <is>
          <t>AHQS — Accelerate Healthcare Quality Solutions</t>
        </is>
      </c>
    </row>
    <row r="11" ht="60" customHeight="1">
      <c r="B11" s="3" t="inlineStr">
        <is>
          <t>A structured risk register with severity and likelihood scoring. Track risks, owners, mitigation actions, and status.</t>
        </is>
      </c>
    </row>
    <row r="13">
      <c r="B13" s="4" t="inlineStr">
        <is>
          <t>How to Use This Tool</t>
        </is>
      </c>
    </row>
    <row r="14">
      <c r="B14" s="5" t="inlineStr">
        <is>
          <t>1. Enter your organization name and facility details in the header area of each sheet</t>
        </is>
      </c>
    </row>
    <row r="15">
      <c r="B15" s="5" t="inlineStr">
        <is>
          <t>2. Fill in the data columns — yellow-shaded cells contain formulas and should not be edited</t>
        </is>
      </c>
    </row>
    <row r="16">
      <c r="B16" s="5" t="inlineStr">
        <is>
          <t>3. Use the dropdown menus where provided for consistent data entry</t>
        </is>
      </c>
    </row>
    <row r="17">
      <c r="B17" s="5" t="inlineStr">
        <is>
          <t>4. Review the summary/dashboard sheet for auto-calculated metrics</t>
        </is>
      </c>
    </row>
    <row r="18">
      <c r="B18" s="5" t="inlineStr">
        <is>
          <t>5. Save a copy for each audit cycle or reporting period</t>
        </is>
      </c>
    </row>
    <row r="19">
      <c r="B19" s="5" t="inlineStr">
        <is>
          <t>6. This tool is free to use and customize for your organization's internal quality improvement</t>
        </is>
      </c>
    </row>
    <row r="21">
      <c r="B21" s="4" t="inlineStr">
        <is>
          <t>Disclaimer</t>
        </is>
      </c>
    </row>
    <row r="22" ht="60" customHeight="1">
      <c r="B22" s="6" t="inlineStr">
        <is>
          <t>This is an AHQS-created quality improvement tool — not an official CAP, ISO 15189, JCI or AABB standards document. Always purchase official standards directly from the accrediting bodies. This template is provided free of charge for internal quality improvement use. © 2026 Accelerate Healthcare Quality Solutions (AHQS). Not for resale.</t>
        </is>
      </c>
    </row>
    <row r="24">
      <c r="B24" s="7" t="inlineStr">
        <is>
          <t>Tool ID: AHQS-RSK-001 | Version: 1.0 | Created: October 2026</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31"/>
  <sheetViews>
    <sheetView showGridLines="0" workbookViewId="0">
      <pane ySplit="1" topLeftCell="A2" activePane="bottomLeft" state="frozen"/>
      <selection pane="bottomLeft" activeCell="A1" sqref="A1"/>
    </sheetView>
  </sheetViews>
  <sheetFormatPr baseColWidth="8" defaultRowHeight="15"/>
  <cols>
    <col width="5" customWidth="1" min="1" max="1"/>
    <col width="12" customWidth="1" min="2" max="2"/>
    <col width="14" customWidth="1" min="3" max="3"/>
    <col width="18" customWidth="1" min="4" max="4"/>
    <col width="40" customWidth="1" min="5" max="5"/>
    <col width="14" customWidth="1" min="6" max="6"/>
    <col width="14" customWidth="1" min="7" max="7"/>
    <col width="12" customWidth="1" min="8" max="8"/>
    <col width="14" customWidth="1" min="9" max="9"/>
    <col width="15" customWidth="1" min="10" max="10"/>
    <col width="35" customWidth="1" min="11" max="11"/>
    <col width="14" customWidth="1" min="12" max="12"/>
    <col width="14" customWidth="1" min="13" max="13"/>
    <col width="14" customWidth="1" min="14" max="14"/>
  </cols>
  <sheetData>
    <row r="1" ht="32" customHeight="1">
      <c r="A1" s="8" t="inlineStr">
        <is>
          <t>#</t>
        </is>
      </c>
      <c r="B1" s="8" t="inlineStr">
        <is>
          <t>Risk ID</t>
        </is>
      </c>
      <c r="C1" s="8" t="inlineStr">
        <is>
          <t>Date Identified</t>
        </is>
      </c>
      <c r="D1" s="8" t="inlineStr">
        <is>
          <t>Risk Category</t>
        </is>
      </c>
      <c r="E1" s="8" t="inlineStr">
        <is>
          <t>Risk Description</t>
        </is>
      </c>
      <c r="F1" s="8" t="inlineStr">
        <is>
          <t>Likelihood (1-5)</t>
        </is>
      </c>
      <c r="G1" s="8" t="inlineStr">
        <is>
          <t>Severity (1-5)</t>
        </is>
      </c>
      <c r="H1" s="8" t="inlineStr">
        <is>
          <t>Risk Score</t>
        </is>
      </c>
      <c r="I1" s="8" t="inlineStr">
        <is>
          <t>Risk Rating</t>
        </is>
      </c>
      <c r="J1" s="8" t="inlineStr">
        <is>
          <t>Risk Owner</t>
        </is>
      </c>
      <c r="K1" s="8" t="inlineStr">
        <is>
          <t>Mitigation Action</t>
        </is>
      </c>
      <c r="L1" s="8" t="inlineStr">
        <is>
          <t>Target Date</t>
        </is>
      </c>
      <c r="M1" s="8" t="inlineStr">
        <is>
          <t>Status</t>
        </is>
      </c>
      <c r="N1" s="8" t="inlineStr">
        <is>
          <t>Review Date</t>
        </is>
      </c>
    </row>
    <row r="2">
      <c r="A2" s="9" t="n">
        <v>1</v>
      </c>
      <c r="B2" s="9" t="inlineStr">
        <is>
          <t>R001</t>
        </is>
      </c>
      <c r="C2" s="9" t="inlineStr">
        <is>
          <t>2026-01-15</t>
        </is>
      </c>
      <c r="D2" s="9" t="inlineStr">
        <is>
          <t>Clinical</t>
        </is>
      </c>
      <c r="E2" s="9" t="inlineStr">
        <is>
          <t>Delayed critical value reporting to requesting physician</t>
        </is>
      </c>
      <c r="F2" s="9" t="n">
        <v>3</v>
      </c>
      <c r="G2" s="9" t="n">
        <v>5</v>
      </c>
      <c r="H2" s="9">
        <f>F2*G2</f>
        <v/>
      </c>
      <c r="I2" s="9">
        <f>IF(H2&gt;=15,"Critical",IF(H2&gt;=9,"High",IF(H2&gt;=4,"Medium","Low")))</f>
        <v/>
      </c>
      <c r="J2" s="9" t="n"/>
      <c r="K2" s="9" t="n"/>
      <c r="L2" s="9" t="n"/>
      <c r="M2" s="9" t="n"/>
      <c r="N2" s="9" t="n"/>
    </row>
    <row r="3">
      <c r="A3" s="9" t="n">
        <v>2</v>
      </c>
      <c r="B3" s="9" t="inlineStr">
        <is>
          <t>R002</t>
        </is>
      </c>
      <c r="C3" s="9" t="inlineStr">
        <is>
          <t>2026-01-20</t>
        </is>
      </c>
      <c r="D3" s="9" t="inlineStr">
        <is>
          <t>Compliance</t>
        </is>
      </c>
      <c r="E3" s="9" t="inlineStr">
        <is>
          <t>Expired reagents in use on automated analyzer</t>
        </is>
      </c>
      <c r="F3" s="9" t="n">
        <v>2</v>
      </c>
      <c r="G3" s="9" t="n">
        <v>4</v>
      </c>
      <c r="H3" s="9">
        <f>F3*G3</f>
        <v/>
      </c>
      <c r="I3" s="9">
        <f>IF(H3&gt;=15,"Critical",IF(H3&gt;=9,"High",IF(H3&gt;=4,"Medium","Low")))</f>
        <v/>
      </c>
      <c r="J3" s="9" t="n"/>
      <c r="K3" s="9" t="n"/>
      <c r="L3" s="9" t="n"/>
      <c r="M3" s="9" t="n"/>
      <c r="N3" s="9" t="n"/>
    </row>
    <row r="4">
      <c r="A4" s="9" t="n">
        <v>3</v>
      </c>
      <c r="B4" s="9" t="inlineStr">
        <is>
          <t>R003</t>
        </is>
      </c>
      <c r="C4" s="9" t="inlineStr">
        <is>
          <t>2026-02-01</t>
        </is>
      </c>
      <c r="D4" s="9" t="inlineStr">
        <is>
          <t>Safety</t>
        </is>
      </c>
      <c r="E4" s="9" t="inlineStr">
        <is>
          <t>Inadequate PPE compliance in specimen processing area</t>
        </is>
      </c>
      <c r="F4" s="9" t="n">
        <v>3</v>
      </c>
      <c r="G4" s="9" t="n">
        <v>3</v>
      </c>
      <c r="H4" s="9">
        <f>F4*G4</f>
        <v/>
      </c>
      <c r="I4" s="9">
        <f>IF(H4&gt;=15,"Critical",IF(H4&gt;=9,"High",IF(H4&gt;=4,"Medium","Low")))</f>
        <v/>
      </c>
      <c r="J4" s="9" t="n"/>
      <c r="K4" s="9" t="n"/>
      <c r="L4" s="9" t="n"/>
      <c r="M4" s="9" t="n"/>
      <c r="N4" s="9" t="n"/>
    </row>
    <row r="5">
      <c r="A5" s="9" t="n">
        <v>4</v>
      </c>
      <c r="B5" s="9" t="inlineStr">
        <is>
          <t>R004</t>
        </is>
      </c>
      <c r="C5" s="9" t="inlineStr">
        <is>
          <t>2026-02-10</t>
        </is>
      </c>
      <c r="D5" s="9" t="inlineStr">
        <is>
          <t>Equipment</t>
        </is>
      </c>
      <c r="E5" s="9" t="inlineStr">
        <is>
          <t>Analyzer calibration drift affecting QC results</t>
        </is>
      </c>
      <c r="F5" s="9" t="n">
        <v>2</v>
      </c>
      <c r="G5" s="9" t="n">
        <v>5</v>
      </c>
      <c r="H5" s="9">
        <f>F5*G5</f>
        <v/>
      </c>
      <c r="I5" s="9">
        <f>IF(H5&gt;=15,"Critical",IF(H5&gt;=9,"High",IF(H5&gt;=4,"Medium","Low")))</f>
        <v/>
      </c>
      <c r="J5" s="9" t="n"/>
      <c r="K5" s="9" t="n"/>
      <c r="L5" s="9" t="n"/>
      <c r="M5" s="9" t="n"/>
      <c r="N5" s="9" t="n"/>
    </row>
    <row r="6">
      <c r="A6" s="9" t="n">
        <v>5</v>
      </c>
      <c r="B6" s="9" t="inlineStr">
        <is>
          <t>R005</t>
        </is>
      </c>
      <c r="C6" s="9" t="inlineStr">
        <is>
          <t>2026-02-15</t>
        </is>
      </c>
      <c r="D6" s="9" t="inlineStr">
        <is>
          <t>IT/Data</t>
        </is>
      </c>
      <c r="E6" s="9" t="inlineStr">
        <is>
          <t>LIS downtime during peak testing hours</t>
        </is>
      </c>
      <c r="F6" s="9" t="n">
        <v>3</v>
      </c>
      <c r="G6" s="9" t="n">
        <v>4</v>
      </c>
      <c r="H6" s="9">
        <f>F6*G6</f>
        <v/>
      </c>
      <c r="I6" s="9">
        <f>IF(H6&gt;=15,"Critical",IF(H6&gt;=9,"High",IF(H6&gt;=4,"Medium","Low")))</f>
        <v/>
      </c>
      <c r="J6" s="9" t="n"/>
      <c r="K6" s="9" t="n"/>
      <c r="L6" s="9" t="n"/>
      <c r="M6" s="9" t="n"/>
      <c r="N6" s="9" t="n"/>
    </row>
    <row r="7">
      <c r="A7" s="9" t="n">
        <v>6</v>
      </c>
      <c r="B7" s="9" t="n"/>
      <c r="C7" s="9" t="n"/>
      <c r="D7" s="9" t="n"/>
      <c r="E7" s="9" t="n"/>
      <c r="F7" s="9" t="n"/>
      <c r="G7" s="9" t="n"/>
      <c r="H7" s="9">
        <f>F7*G7</f>
        <v/>
      </c>
      <c r="I7" s="9">
        <f>IF(H7&gt;=15,"Critical",IF(H7&gt;=9,"High",IF(H7&gt;=4,"Medium","Low")))</f>
        <v/>
      </c>
      <c r="J7" s="9" t="n"/>
      <c r="K7" s="9" t="n"/>
      <c r="L7" s="9" t="n"/>
      <c r="M7" s="9" t="n"/>
      <c r="N7" s="9" t="n"/>
    </row>
    <row r="8">
      <c r="A8" s="9" t="n">
        <v>7</v>
      </c>
      <c r="B8" s="9" t="n"/>
      <c r="C8" s="9" t="n"/>
      <c r="D8" s="9" t="n"/>
      <c r="E8" s="9" t="n"/>
      <c r="F8" s="9" t="n"/>
      <c r="G8" s="9" t="n"/>
      <c r="H8" s="9">
        <f>F8*G8</f>
        <v/>
      </c>
      <c r="I8" s="9">
        <f>IF(H8&gt;=15,"Critical",IF(H8&gt;=9,"High",IF(H8&gt;=4,"Medium","Low")))</f>
        <v/>
      </c>
      <c r="J8" s="9" t="n"/>
      <c r="K8" s="9" t="n"/>
      <c r="L8" s="9" t="n"/>
      <c r="M8" s="9" t="n"/>
      <c r="N8" s="9" t="n"/>
    </row>
    <row r="9">
      <c r="A9" s="9" t="n">
        <v>8</v>
      </c>
      <c r="B9" s="9" t="n"/>
      <c r="C9" s="9" t="n"/>
      <c r="D9" s="9" t="n"/>
      <c r="E9" s="9" t="n"/>
      <c r="F9" s="9" t="n"/>
      <c r="G9" s="9" t="n"/>
      <c r="H9" s="9">
        <f>F9*G9</f>
        <v/>
      </c>
      <c r="I9" s="9">
        <f>IF(H9&gt;=15,"Critical",IF(H9&gt;=9,"High",IF(H9&gt;=4,"Medium","Low")))</f>
        <v/>
      </c>
      <c r="J9" s="9" t="n"/>
      <c r="K9" s="9" t="n"/>
      <c r="L9" s="9" t="n"/>
      <c r="M9" s="9" t="n"/>
      <c r="N9" s="9" t="n"/>
    </row>
    <row r="10">
      <c r="A10" s="9" t="n">
        <v>9</v>
      </c>
      <c r="B10" s="9" t="n"/>
      <c r="C10" s="9" t="n"/>
      <c r="D10" s="9" t="n"/>
      <c r="E10" s="9" t="n"/>
      <c r="F10" s="9" t="n"/>
      <c r="G10" s="9" t="n"/>
      <c r="H10" s="9">
        <f>F10*G10</f>
        <v/>
      </c>
      <c r="I10" s="9">
        <f>IF(H10&gt;=15,"Critical",IF(H10&gt;=9,"High",IF(H10&gt;=4,"Medium","Low")))</f>
        <v/>
      </c>
      <c r="J10" s="9" t="n"/>
      <c r="K10" s="9" t="n"/>
      <c r="L10" s="9" t="n"/>
      <c r="M10" s="9" t="n"/>
      <c r="N10" s="9" t="n"/>
    </row>
    <row r="11">
      <c r="A11" s="9" t="n">
        <v>10</v>
      </c>
      <c r="B11" s="9" t="n"/>
      <c r="C11" s="9" t="n"/>
      <c r="D11" s="9" t="n"/>
      <c r="E11" s="9" t="n"/>
      <c r="F11" s="9" t="n"/>
      <c r="G11" s="9" t="n"/>
      <c r="H11" s="9">
        <f>F11*G11</f>
        <v/>
      </c>
      <c r="I11" s="9">
        <f>IF(H11&gt;=15,"Critical",IF(H11&gt;=9,"High",IF(H11&gt;=4,"Medium","Low")))</f>
        <v/>
      </c>
      <c r="J11" s="9" t="n"/>
      <c r="K11" s="9" t="n"/>
      <c r="L11" s="9" t="n"/>
      <c r="M11" s="9" t="n"/>
      <c r="N11" s="9" t="n"/>
    </row>
    <row r="12">
      <c r="A12" s="9" t="n">
        <v>11</v>
      </c>
      <c r="B12" s="9" t="n"/>
      <c r="C12" s="9" t="n"/>
      <c r="D12" s="9" t="n"/>
      <c r="E12" s="9" t="n"/>
      <c r="F12" s="9" t="n"/>
      <c r="G12" s="9" t="n"/>
      <c r="H12" s="9">
        <f>F12*G12</f>
        <v/>
      </c>
      <c r="I12" s="9">
        <f>IF(H12&gt;=15,"Critical",IF(H12&gt;=9,"High",IF(H12&gt;=4,"Medium","Low")))</f>
        <v/>
      </c>
      <c r="J12" s="9" t="n"/>
      <c r="K12" s="9" t="n"/>
      <c r="L12" s="9" t="n"/>
      <c r="M12" s="9" t="n"/>
      <c r="N12" s="9" t="n"/>
    </row>
    <row r="13">
      <c r="A13" s="9" t="n">
        <v>12</v>
      </c>
      <c r="B13" s="9" t="n"/>
      <c r="C13" s="9" t="n"/>
      <c r="D13" s="9" t="n"/>
      <c r="E13" s="9" t="n"/>
      <c r="F13" s="9" t="n"/>
      <c r="G13" s="9" t="n"/>
      <c r="H13" s="9">
        <f>F13*G13</f>
        <v/>
      </c>
      <c r="I13" s="9">
        <f>IF(H13&gt;=15,"Critical",IF(H13&gt;=9,"High",IF(H13&gt;=4,"Medium","Low")))</f>
        <v/>
      </c>
      <c r="J13" s="9" t="n"/>
      <c r="K13" s="9" t="n"/>
      <c r="L13" s="9" t="n"/>
      <c r="M13" s="9" t="n"/>
      <c r="N13" s="9" t="n"/>
    </row>
    <row r="14">
      <c r="A14" s="9" t="n">
        <v>13</v>
      </c>
      <c r="B14" s="9" t="n"/>
      <c r="C14" s="9" t="n"/>
      <c r="D14" s="9" t="n"/>
      <c r="E14" s="9" t="n"/>
      <c r="F14" s="9" t="n"/>
      <c r="G14" s="9" t="n"/>
      <c r="H14" s="9">
        <f>F14*G14</f>
        <v/>
      </c>
      <c r="I14" s="9">
        <f>IF(H14&gt;=15,"Critical",IF(H14&gt;=9,"High",IF(H14&gt;=4,"Medium","Low")))</f>
        <v/>
      </c>
      <c r="J14" s="9" t="n"/>
      <c r="K14" s="9" t="n"/>
      <c r="L14" s="9" t="n"/>
      <c r="M14" s="9" t="n"/>
      <c r="N14" s="9" t="n"/>
    </row>
    <row r="15">
      <c r="A15" s="9" t="n">
        <v>14</v>
      </c>
      <c r="B15" s="9" t="n"/>
      <c r="C15" s="9" t="n"/>
      <c r="D15" s="9" t="n"/>
      <c r="E15" s="9" t="n"/>
      <c r="F15" s="9" t="n"/>
      <c r="G15" s="9" t="n"/>
      <c r="H15" s="9">
        <f>F15*G15</f>
        <v/>
      </c>
      <c r="I15" s="9">
        <f>IF(H15&gt;=15,"Critical",IF(H15&gt;=9,"High",IF(H15&gt;=4,"Medium","Low")))</f>
        <v/>
      </c>
      <c r="J15" s="9" t="n"/>
      <c r="K15" s="9" t="n"/>
      <c r="L15" s="9" t="n"/>
      <c r="M15" s="9" t="n"/>
      <c r="N15" s="9" t="n"/>
    </row>
    <row r="16">
      <c r="A16" s="9" t="n">
        <v>15</v>
      </c>
      <c r="B16" s="9" t="n"/>
      <c r="C16" s="9" t="n"/>
      <c r="D16" s="9" t="n"/>
      <c r="E16" s="9" t="n"/>
      <c r="F16" s="9" t="n"/>
      <c r="G16" s="9" t="n"/>
      <c r="H16" s="9">
        <f>F16*G16</f>
        <v/>
      </c>
      <c r="I16" s="9">
        <f>IF(H16&gt;=15,"Critical",IF(H16&gt;=9,"High",IF(H16&gt;=4,"Medium","Low")))</f>
        <v/>
      </c>
      <c r="J16" s="9" t="n"/>
      <c r="K16" s="9" t="n"/>
      <c r="L16" s="9" t="n"/>
      <c r="M16" s="9" t="n"/>
      <c r="N16" s="9" t="n"/>
    </row>
    <row r="17">
      <c r="A17" s="9" t="n">
        <v>16</v>
      </c>
      <c r="B17" s="9" t="n"/>
      <c r="C17" s="9" t="n"/>
      <c r="D17" s="9" t="n"/>
      <c r="E17" s="9" t="n"/>
      <c r="F17" s="9" t="n"/>
      <c r="G17" s="9" t="n"/>
      <c r="H17" s="9">
        <f>F17*G17</f>
        <v/>
      </c>
      <c r="I17" s="9">
        <f>IF(H17&gt;=15,"Critical",IF(H17&gt;=9,"High",IF(H17&gt;=4,"Medium","Low")))</f>
        <v/>
      </c>
      <c r="J17" s="9" t="n"/>
      <c r="K17" s="9" t="n"/>
      <c r="L17" s="9" t="n"/>
      <c r="M17" s="9" t="n"/>
      <c r="N17" s="9" t="n"/>
    </row>
    <row r="18">
      <c r="A18" s="9" t="n">
        <v>17</v>
      </c>
      <c r="B18" s="9" t="n"/>
      <c r="C18" s="9" t="n"/>
      <c r="D18" s="9" t="n"/>
      <c r="E18" s="9" t="n"/>
      <c r="F18" s="9" t="n"/>
      <c r="G18" s="9" t="n"/>
      <c r="H18" s="9">
        <f>F18*G18</f>
        <v/>
      </c>
      <c r="I18" s="9">
        <f>IF(H18&gt;=15,"Critical",IF(H18&gt;=9,"High",IF(H18&gt;=4,"Medium","Low")))</f>
        <v/>
      </c>
      <c r="J18" s="9" t="n"/>
      <c r="K18" s="9" t="n"/>
      <c r="L18" s="9" t="n"/>
      <c r="M18" s="9" t="n"/>
      <c r="N18" s="9" t="n"/>
    </row>
    <row r="19">
      <c r="A19" s="9" t="n">
        <v>18</v>
      </c>
      <c r="B19" s="9" t="n"/>
      <c r="C19" s="9" t="n"/>
      <c r="D19" s="9" t="n"/>
      <c r="E19" s="9" t="n"/>
      <c r="F19" s="9" t="n"/>
      <c r="G19" s="9" t="n"/>
      <c r="H19" s="9">
        <f>F19*G19</f>
        <v/>
      </c>
      <c r="I19" s="9">
        <f>IF(H19&gt;=15,"Critical",IF(H19&gt;=9,"High",IF(H19&gt;=4,"Medium","Low")))</f>
        <v/>
      </c>
      <c r="J19" s="9" t="n"/>
      <c r="K19" s="9" t="n"/>
      <c r="L19" s="9" t="n"/>
      <c r="M19" s="9" t="n"/>
      <c r="N19" s="9" t="n"/>
    </row>
    <row r="20">
      <c r="A20" s="9" t="n">
        <v>19</v>
      </c>
      <c r="B20" s="9" t="n"/>
      <c r="C20" s="9" t="n"/>
      <c r="D20" s="9" t="n"/>
      <c r="E20" s="9" t="n"/>
      <c r="F20" s="9" t="n"/>
      <c r="G20" s="9" t="n"/>
      <c r="H20" s="9">
        <f>F20*G20</f>
        <v/>
      </c>
      <c r="I20" s="9">
        <f>IF(H20&gt;=15,"Critical",IF(H20&gt;=9,"High",IF(H20&gt;=4,"Medium","Low")))</f>
        <v/>
      </c>
      <c r="J20" s="9" t="n"/>
      <c r="K20" s="9" t="n"/>
      <c r="L20" s="9" t="n"/>
      <c r="M20" s="9" t="n"/>
      <c r="N20" s="9" t="n"/>
    </row>
    <row r="21">
      <c r="A21" s="9" t="n">
        <v>20</v>
      </c>
      <c r="B21" s="9" t="n"/>
      <c r="C21" s="9" t="n"/>
      <c r="D21" s="9" t="n"/>
      <c r="E21" s="9" t="n"/>
      <c r="F21" s="9" t="n"/>
      <c r="G21" s="9" t="n"/>
      <c r="H21" s="9">
        <f>F21*G21</f>
        <v/>
      </c>
      <c r="I21" s="9">
        <f>IF(H21&gt;=15,"Critical",IF(H21&gt;=9,"High",IF(H21&gt;=4,"Medium","Low")))</f>
        <v/>
      </c>
      <c r="J21" s="9" t="n"/>
      <c r="K21" s="9" t="n"/>
      <c r="L21" s="9" t="n"/>
      <c r="M21" s="9" t="n"/>
      <c r="N21" s="9" t="n"/>
    </row>
    <row r="22">
      <c r="A22" s="9" t="n">
        <v>21</v>
      </c>
      <c r="B22" s="9" t="n"/>
      <c r="C22" s="9" t="n"/>
      <c r="D22" s="9" t="n"/>
      <c r="E22" s="9" t="n"/>
      <c r="F22" s="9" t="n"/>
      <c r="G22" s="9" t="n"/>
      <c r="H22" s="9">
        <f>F22*G22</f>
        <v/>
      </c>
      <c r="I22" s="9">
        <f>IF(H22&gt;=15,"Critical",IF(H22&gt;=9,"High",IF(H22&gt;=4,"Medium","Low")))</f>
        <v/>
      </c>
      <c r="J22" s="9" t="n"/>
      <c r="K22" s="9" t="n"/>
      <c r="L22" s="9" t="n"/>
      <c r="M22" s="9" t="n"/>
      <c r="N22" s="9" t="n"/>
    </row>
    <row r="23">
      <c r="A23" s="9" t="n">
        <v>22</v>
      </c>
      <c r="B23" s="9" t="n"/>
      <c r="C23" s="9" t="n"/>
      <c r="D23" s="9" t="n"/>
      <c r="E23" s="9" t="n"/>
      <c r="F23" s="9" t="n"/>
      <c r="G23" s="9" t="n"/>
      <c r="H23" s="9">
        <f>F23*G23</f>
        <v/>
      </c>
      <c r="I23" s="9">
        <f>IF(H23&gt;=15,"Critical",IF(H23&gt;=9,"High",IF(H23&gt;=4,"Medium","Low")))</f>
        <v/>
      </c>
      <c r="J23" s="9" t="n"/>
      <c r="K23" s="9" t="n"/>
      <c r="L23" s="9" t="n"/>
      <c r="M23" s="9" t="n"/>
      <c r="N23" s="9" t="n"/>
    </row>
    <row r="24">
      <c r="A24" s="9" t="n">
        <v>23</v>
      </c>
      <c r="B24" s="9" t="n"/>
      <c r="C24" s="9" t="n"/>
      <c r="D24" s="9" t="n"/>
      <c r="E24" s="9" t="n"/>
      <c r="F24" s="9" t="n"/>
      <c r="G24" s="9" t="n"/>
      <c r="H24" s="9">
        <f>F24*G24</f>
        <v/>
      </c>
      <c r="I24" s="9">
        <f>IF(H24&gt;=15,"Critical",IF(H24&gt;=9,"High",IF(H24&gt;=4,"Medium","Low")))</f>
        <v/>
      </c>
      <c r="J24" s="9" t="n"/>
      <c r="K24" s="9" t="n"/>
      <c r="L24" s="9" t="n"/>
      <c r="M24" s="9" t="n"/>
      <c r="N24" s="9" t="n"/>
    </row>
    <row r="25">
      <c r="A25" s="9" t="n">
        <v>24</v>
      </c>
      <c r="B25" s="9" t="n"/>
      <c r="C25" s="9" t="n"/>
      <c r="D25" s="9" t="n"/>
      <c r="E25" s="9" t="n"/>
      <c r="F25" s="9" t="n"/>
      <c r="G25" s="9" t="n"/>
      <c r="H25" s="9">
        <f>F25*G25</f>
        <v/>
      </c>
      <c r="I25" s="9">
        <f>IF(H25&gt;=15,"Critical",IF(H25&gt;=9,"High",IF(H25&gt;=4,"Medium","Low")))</f>
        <v/>
      </c>
      <c r="J25" s="9" t="n"/>
      <c r="K25" s="9" t="n"/>
      <c r="L25" s="9" t="n"/>
      <c r="M25" s="9" t="n"/>
      <c r="N25" s="9" t="n"/>
    </row>
    <row r="26">
      <c r="A26" s="9" t="n">
        <v>25</v>
      </c>
      <c r="B26" s="9" t="n"/>
      <c r="C26" s="9" t="n"/>
      <c r="D26" s="9" t="n"/>
      <c r="E26" s="9" t="n"/>
      <c r="F26" s="9" t="n"/>
      <c r="G26" s="9" t="n"/>
      <c r="H26" s="9">
        <f>F26*G26</f>
        <v/>
      </c>
      <c r="I26" s="9">
        <f>IF(H26&gt;=15,"Critical",IF(H26&gt;=9,"High",IF(H26&gt;=4,"Medium","Low")))</f>
        <v/>
      </c>
      <c r="J26" s="9" t="n"/>
      <c r="K26" s="9" t="n"/>
      <c r="L26" s="9" t="n"/>
      <c r="M26" s="9" t="n"/>
      <c r="N26" s="9" t="n"/>
    </row>
    <row r="27">
      <c r="A27" s="9" t="n">
        <v>26</v>
      </c>
      <c r="B27" s="9" t="n"/>
      <c r="C27" s="9" t="n"/>
      <c r="D27" s="9" t="n"/>
      <c r="E27" s="9" t="n"/>
      <c r="F27" s="9" t="n"/>
      <c r="G27" s="9" t="n"/>
      <c r="H27" s="9">
        <f>F27*G27</f>
        <v/>
      </c>
      <c r="I27" s="9">
        <f>IF(H27&gt;=15,"Critical",IF(H27&gt;=9,"High",IF(H27&gt;=4,"Medium","Low")))</f>
        <v/>
      </c>
      <c r="J27" s="9" t="n"/>
      <c r="K27" s="9" t="n"/>
      <c r="L27" s="9" t="n"/>
      <c r="M27" s="9" t="n"/>
      <c r="N27" s="9" t="n"/>
    </row>
    <row r="28">
      <c r="A28" s="9" t="n">
        <v>27</v>
      </c>
      <c r="B28" s="9" t="n"/>
      <c r="C28" s="9" t="n"/>
      <c r="D28" s="9" t="n"/>
      <c r="E28" s="9" t="n"/>
      <c r="F28" s="9" t="n"/>
      <c r="G28" s="9" t="n"/>
      <c r="H28" s="9">
        <f>F28*G28</f>
        <v/>
      </c>
      <c r="I28" s="9">
        <f>IF(H28&gt;=15,"Critical",IF(H28&gt;=9,"High",IF(H28&gt;=4,"Medium","Low")))</f>
        <v/>
      </c>
      <c r="J28" s="9" t="n"/>
      <c r="K28" s="9" t="n"/>
      <c r="L28" s="9" t="n"/>
      <c r="M28" s="9" t="n"/>
      <c r="N28" s="9" t="n"/>
    </row>
    <row r="29">
      <c r="A29" s="9" t="n">
        <v>28</v>
      </c>
      <c r="B29" s="9" t="n"/>
      <c r="C29" s="9" t="n"/>
      <c r="D29" s="9" t="n"/>
      <c r="E29" s="9" t="n"/>
      <c r="F29" s="9" t="n"/>
      <c r="G29" s="9" t="n"/>
      <c r="H29" s="9">
        <f>F29*G29</f>
        <v/>
      </c>
      <c r="I29" s="9">
        <f>IF(H29&gt;=15,"Critical",IF(H29&gt;=9,"High",IF(H29&gt;=4,"Medium","Low")))</f>
        <v/>
      </c>
      <c r="J29" s="9" t="n"/>
      <c r="K29" s="9" t="n"/>
      <c r="L29" s="9" t="n"/>
      <c r="M29" s="9" t="n"/>
      <c r="N29" s="9" t="n"/>
    </row>
    <row r="30">
      <c r="A30" s="9" t="n">
        <v>29</v>
      </c>
      <c r="B30" s="9" t="n"/>
      <c r="C30" s="9" t="n"/>
      <c r="D30" s="9" t="n"/>
      <c r="E30" s="9" t="n"/>
      <c r="F30" s="9" t="n"/>
      <c r="G30" s="9" t="n"/>
      <c r="H30" s="9">
        <f>F30*G30</f>
        <v/>
      </c>
      <c r="I30" s="9">
        <f>IF(H30&gt;=15,"Critical",IF(H30&gt;=9,"High",IF(H30&gt;=4,"Medium","Low")))</f>
        <v/>
      </c>
      <c r="J30" s="9" t="n"/>
      <c r="K30" s="9" t="n"/>
      <c r="L30" s="9" t="n"/>
      <c r="M30" s="9" t="n"/>
      <c r="N30" s="9" t="n"/>
    </row>
    <row r="31">
      <c r="A31" s="9" t="n">
        <v>30</v>
      </c>
      <c r="B31" s="9" t="n"/>
      <c r="C31" s="9" t="n"/>
      <c r="D31" s="9" t="n"/>
      <c r="E31" s="9" t="n"/>
      <c r="F31" s="9" t="n"/>
      <c r="G31" s="9" t="n"/>
      <c r="H31" s="9">
        <f>F31*G31</f>
        <v/>
      </c>
      <c r="I31" s="9">
        <f>IF(H31&gt;=15,"Critical",IF(H31&gt;=9,"High",IF(H31&gt;=4,"Medium","Low")))</f>
        <v/>
      </c>
      <c r="J31" s="9" t="n"/>
      <c r="K31" s="9" t="n"/>
      <c r="L31" s="9" t="n"/>
      <c r="M31" s="9" t="n"/>
      <c r="N31" s="9" t="n"/>
    </row>
  </sheetData>
  <autoFilter ref="A1:N31"/>
  <conditionalFormatting sqref="H2:H31">
    <cfRule type="cellIs" priority="1" operator="greaterThanOrEqual" dxfId="0">
      <formula>15</formula>
    </cfRule>
    <cfRule type="cellIs" priority="2" operator="between" dxfId="1">
      <formula>9</formula>
      <formula>14</formula>
    </cfRule>
    <cfRule type="cellIs" priority="3" operator="between" dxfId="2">
      <formula>4</formula>
      <formula>8</formula>
    </cfRule>
  </conditionalFormatting>
  <dataValidations count="3">
    <dataValidation sqref="I2 I3 I4 I5 I6 I7 I8 I9 I10 I11 I12 I13 I14 I15 I16 I17 I18 I19 I20 I21 I22 I23 I24 I25 I26 I27 I28 I29 I30 I31" showDropDown="0" showInputMessage="0" showErrorMessage="0" allowBlank="1" type="list">
      <formula1>"Low,Medium,High,Critical"</formula1>
    </dataValidation>
    <dataValidation sqref="M2 M3 M4 M5 M6 M7 M8 M9 M10 M11 M12 M13 M14 M15 M16 M17 M18 M19 M20 M21 M22 M23 M24 M25 M26 M27 M28 M29 M30 M31" showDropDown="0" showInputMessage="0" showErrorMessage="0" allowBlank="1" type="list">
      <formula1>"Open,Mitigated,Closed,Monitoring"</formula1>
    </dataValidation>
    <dataValidation sqref="D2 D3 D4 D5 D6 D7 D8 D9 D10 D11 D12 D13 D14 D15 D16 D17 D18 D19 D20 D21 D22 D23 D24 D25 D26 D27 D28 D29 D30 D31" showDropDown="0" showInputMessage="0" showErrorMessage="0" allowBlank="1" type="list">
      <formula1>"Clinical,Operational,Financial,Compliance,Safety,Equipment,IT/Data,Personnel"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G10"/>
  <sheetViews>
    <sheetView showGridLines="0" workbookViewId="0">
      <selection activeCell="A1" sqref="A1"/>
    </sheetView>
  </sheetViews>
  <sheetFormatPr baseColWidth="8" defaultRowHeight="15"/>
  <cols>
    <col width="22" customWidth="1" min="2" max="2"/>
    <col width="16" customWidth="1" min="3" max="3"/>
    <col width="16" customWidth="1" min="4" max="4"/>
    <col width="16" customWidth="1" min="5" max="5"/>
    <col width="16" customWidth="1" min="6" max="6"/>
    <col width="16" customWidth="1" min="7" max="7"/>
  </cols>
  <sheetData>
    <row r="2">
      <c r="B2" s="10" t="inlineStr">
        <is>
          <t>Risk Assessment Matrix</t>
        </is>
      </c>
    </row>
    <row r="4">
      <c r="B4" s="11" t="inlineStr">
        <is>
          <t>Likelihood / Severity</t>
        </is>
      </c>
    </row>
    <row r="5">
      <c r="C5" s="12" t="inlineStr">
        <is>
          <t>1 - Rare</t>
        </is>
      </c>
      <c r="D5" s="12" t="inlineStr">
        <is>
          <t>2 - Unlikely</t>
        </is>
      </c>
      <c r="E5" s="12" t="inlineStr">
        <is>
          <t>3 - Possible</t>
        </is>
      </c>
      <c r="F5" s="12" t="inlineStr">
        <is>
          <t>4 - Likely</t>
        </is>
      </c>
      <c r="G5" s="12" t="inlineStr">
        <is>
          <t>5 - Almost Certain</t>
        </is>
      </c>
    </row>
    <row r="6">
      <c r="B6" s="12" t="inlineStr">
        <is>
          <t>5 - Almost Certain</t>
        </is>
      </c>
      <c r="C6" s="13" t="n">
        <v>5</v>
      </c>
      <c r="D6" s="14" t="n">
        <v>10</v>
      </c>
      <c r="E6" s="15" t="n">
        <v>15</v>
      </c>
      <c r="F6" s="15" t="n">
        <v>20</v>
      </c>
      <c r="G6" s="15" t="n">
        <v>25</v>
      </c>
    </row>
    <row r="7">
      <c r="B7" s="12" t="inlineStr">
        <is>
          <t>4 - Likely</t>
        </is>
      </c>
      <c r="C7" s="13" t="n">
        <v>4</v>
      </c>
      <c r="D7" s="13" t="n">
        <v>8</v>
      </c>
      <c r="E7" s="14" t="n">
        <v>12</v>
      </c>
      <c r="F7" s="15" t="n">
        <v>16</v>
      </c>
      <c r="G7" s="15" t="n">
        <v>20</v>
      </c>
    </row>
    <row r="8">
      <c r="B8" s="12" t="inlineStr">
        <is>
          <t>3 - Possible</t>
        </is>
      </c>
      <c r="C8" s="16" t="n">
        <v>3</v>
      </c>
      <c r="D8" s="13" t="n">
        <v>6</v>
      </c>
      <c r="E8" s="14" t="n">
        <v>9</v>
      </c>
      <c r="F8" s="14" t="n">
        <v>12</v>
      </c>
      <c r="G8" s="15" t="n">
        <v>15</v>
      </c>
    </row>
    <row r="9">
      <c r="B9" s="12" t="inlineStr">
        <is>
          <t>2 - Unlikely</t>
        </is>
      </c>
      <c r="C9" s="16" t="n">
        <v>2</v>
      </c>
      <c r="D9" s="13" t="n">
        <v>4</v>
      </c>
      <c r="E9" s="13" t="n">
        <v>6</v>
      </c>
      <c r="F9" s="13" t="n">
        <v>8</v>
      </c>
      <c r="G9" s="14" t="n">
        <v>10</v>
      </c>
    </row>
    <row r="10">
      <c r="B10" s="12" t="inlineStr">
        <is>
          <t>1 - Rare</t>
        </is>
      </c>
      <c r="C10" s="16" t="n">
        <v>1</v>
      </c>
      <c r="D10" s="16" t="n">
        <v>2</v>
      </c>
      <c r="E10" s="16" t="n">
        <v>3</v>
      </c>
      <c r="F10" s="13" t="n">
        <v>4</v>
      </c>
      <c r="G10" s="13"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2026-10-07T14:35:07Z</dcterms:created>
  <dcterms:modified xmlns:dcterms="http://purl.org/dc/terms/" xmlns:xsi="http://www.w3.org/2001/XMLSchema-instance" xsi:type="dcterms:W3CDTF">2026-10-07T14:35:15Z</dcterms:modified>
</cp:coreProperties>
</file>