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sheetId="1" state="visible" r:id="rId1"/>
    <sheet xmlns:r="http://schemas.openxmlformats.org/officeDocument/2006/relationships" name="Settings" sheetId="2" state="visible" r:id="rId2"/>
    <sheet xmlns:r="http://schemas.openxmlformats.org/officeDocument/2006/relationships" name="Risk Register" sheetId="3" state="visible" r:id="rId3"/>
    <sheet xmlns:r="http://schemas.openxmlformats.org/officeDocument/2006/relationships" name="Risk Matrix" sheetId="4" state="visible" r:id="rId4"/>
    <sheet xmlns:r="http://schemas.openxmlformats.org/officeDocument/2006/relationships" name="Dashboard" sheetId="5" state="visible" r:id="rId5"/>
  </sheets>
  <definedNames>
    <definedName name="_xlnm._FilterDatabase" localSheetId="2" hidden="1">'Risk Register'!$A$1:$R$41</definedName>
  </definedNames>
  <calcPr calcId="124519" fullCalcOnLoad="1" refMode="A1" iterate="0" iterateCount="100" iterateDelta="0.0001"/>
</workbook>
</file>

<file path=xl/styles.xml><?xml version="1.0" encoding="utf-8"?>
<styleSheet xmlns="http://schemas.openxmlformats.org/spreadsheetml/2006/main">
  <numFmts count="0"/>
  <fonts count="25">
    <font>
      <name val="Calibri"/>
      <charset val="1"/>
      <family val="2"/>
      <color theme="1"/>
      <sz val="11"/>
    </font>
    <font>
      <name val="Arial"/>
      <family val="0"/>
      <sz val="10"/>
    </font>
    <font>
      <name val="Arial"/>
      <family val="0"/>
      <sz val="10"/>
    </font>
    <font>
      <name val="Arial"/>
      <family val="0"/>
      <sz val="10"/>
    </font>
    <font>
      <name val="Calibri"/>
      <charset val="1"/>
      <family val="0"/>
      <b val="1"/>
      <color rgb="FF071F3B"/>
      <sz val="22"/>
    </font>
    <font>
      <name val="Calibri"/>
      <charset val="1"/>
      <family val="0"/>
      <i val="1"/>
      <color rgb="FF087F83"/>
      <sz val="11"/>
    </font>
    <font>
      <name val="Calibri"/>
      <charset val="1"/>
      <family val="0"/>
      <color rgb="FF667789"/>
      <sz val="11"/>
    </font>
    <font>
      <name val="Calibri"/>
      <charset val="1"/>
      <family val="0"/>
      <b val="1"/>
      <color rgb="FF071F3B"/>
      <sz val="13"/>
    </font>
    <font>
      <name val="Calibri"/>
      <charset val="1"/>
      <family val="0"/>
      <color rgb="FF173047"/>
      <sz val="10"/>
    </font>
    <font>
      <name val="Calibri"/>
      <charset val="1"/>
      <family val="0"/>
      <i val="1"/>
      <color rgb="FF667789"/>
      <sz val="9"/>
    </font>
    <font>
      <name val="Calibri"/>
      <charset val="1"/>
      <family val="0"/>
      <color rgb="FF667789"/>
      <sz val="9"/>
    </font>
    <font>
      <name val="Calibri"/>
      <charset val="1"/>
      <family val="0"/>
      <b val="1"/>
      <color rgb="FFFFFFFF"/>
      <sz val="11"/>
    </font>
    <font>
      <name val="Calibri"/>
      <charset val="1"/>
      <family val="0"/>
      <b val="1"/>
      <color rgb="FF173047"/>
      <sz val="10"/>
    </font>
    <font>
      <name val="Calibri"/>
      <charset val="1"/>
      <family val="0"/>
      <b val="1"/>
      <color rgb="FF071F3B"/>
      <sz val="16"/>
    </font>
    <font>
      <name val="Cambria"/>
      <charset val="1"/>
      <family val="0"/>
      <b val="1"/>
      <color rgb="FFFFFFFF"/>
      <sz val="10"/>
    </font>
    <font>
      <name val="Calibri"/>
      <charset val="1"/>
      <family val="0"/>
      <b val="1"/>
      <color rgb="FF173047"/>
      <sz val="14"/>
    </font>
    <font>
      <name val="Cambria"/>
      <charset val="1"/>
      <family val="0"/>
      <b val="1"/>
      <color rgb="FFFFFFFF"/>
      <sz val="14"/>
    </font>
    <font>
      <name val="Cambria"/>
      <charset val="1"/>
      <family val="0"/>
      <b val="1"/>
      <color rgb="FF071F3B"/>
      <sz val="10"/>
    </font>
    <font>
      <name val="Cambria"/>
      <charset val="1"/>
      <family val="0"/>
      <b val="1"/>
      <color rgb="FF173047"/>
      <sz val="10"/>
    </font>
    <font>
      <name val="Calibri"/>
      <charset val="1"/>
      <family val="0"/>
      <b val="1"/>
      <color rgb="FF071F3B"/>
      <sz val="18"/>
    </font>
    <font>
      <name val="Calibri"/>
      <charset val="1"/>
      <family val="0"/>
      <b val="1"/>
      <color rgb="FFD4E2EB"/>
      <sz val="9"/>
    </font>
    <font>
      <name val="Calibri"/>
      <charset val="1"/>
      <family val="0"/>
      <b val="1"/>
      <color rgb="FFF0CB67"/>
      <sz val="22"/>
    </font>
    <font>
      <name val="Calibri"/>
      <family val="2"/>
      <b val="1"/>
      <color rgb="FF000000"/>
      <sz val="18"/>
    </font>
    <font>
      <name val="Calibri"/>
      <family val="2"/>
      <color rgb="FF000000"/>
      <sz val="10"/>
    </font>
    <font>
      <name val="Calibri"/>
      <family val="2"/>
      <b val="1"/>
      <color rgb="FF000000"/>
      <sz val="10"/>
    </font>
  </fonts>
  <fills count="9">
    <fill>
      <patternFill/>
    </fill>
    <fill>
      <patternFill patternType="gray125"/>
    </fill>
    <fill>
      <patternFill patternType="solid">
        <fgColor rgb="FF071F3B"/>
        <bgColor rgb="FF173047"/>
      </patternFill>
    </fill>
    <fill>
      <patternFill patternType="solid">
        <fgColor rgb="FF087F83"/>
        <bgColor rgb="FF008080"/>
      </patternFill>
    </fill>
    <fill>
      <patternFill patternType="solid">
        <fgColor rgb="FFEAF7F7"/>
        <bgColor rgb="FFFFFFFF"/>
      </patternFill>
    </fill>
    <fill>
      <patternFill patternType="solid">
        <fgColor rgb="FFFFE066"/>
        <bgColor rgb="FFF0CB67"/>
      </patternFill>
    </fill>
    <fill>
      <patternFill patternType="solid">
        <fgColor rgb="FFFFA94D"/>
        <bgColor rgb="FFD8A72B"/>
      </patternFill>
    </fill>
    <fill>
      <patternFill patternType="solid">
        <fgColor rgb="FFFF6B6B"/>
        <bgColor rgb="FFFF6600"/>
      </patternFill>
    </fill>
    <fill>
      <patternFill patternType="solid">
        <fgColor rgb="FFC3F6C3"/>
        <bgColor rgb="FFD4E2EB"/>
      </patternFill>
    </fill>
  </fills>
  <borders count="3">
    <border>
      <left/>
      <right/>
      <top/>
      <bottom/>
      <diagonal/>
    </border>
    <border>
      <left/>
      <right/>
      <top/>
      <bottom style="medium">
        <color rgb="FFD8A72B"/>
      </bottom>
      <diagonal/>
    </border>
    <border>
      <left style="thin">
        <color rgb="FFDCE6EB"/>
      </left>
      <right style="thin">
        <color rgb="FFDCE6EB"/>
      </right>
      <top style="thin">
        <color rgb="FFDCE6EB"/>
      </top>
      <bottom style="thin">
        <color rgb="FFDCE6E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11" fillId="2" borderId="2" applyAlignment="1" pivotButton="0" quotePrefix="0" xfId="0">
      <alignment horizontal="center" vertical="center" wrapText="1"/>
    </xf>
    <xf numFmtId="0" fontId="8" fillId="0" borderId="0" applyAlignment="1" pivotButton="0" quotePrefix="0" xfId="0">
      <alignment horizontal="general" vertical="bottom"/>
    </xf>
    <xf numFmtId="0" fontId="11" fillId="3" borderId="2" applyAlignment="1" pivotButton="0" quotePrefix="0" xfId="0">
      <alignment horizontal="center" vertical="center" wrapText="1"/>
    </xf>
    <xf numFmtId="0" fontId="8"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8" fillId="0" borderId="2" applyAlignment="1" pivotButton="0" quotePrefix="0" xfId="0">
      <alignment horizontal="left" vertical="center" wrapText="1"/>
    </xf>
    <xf numFmtId="0" fontId="12" fillId="4" borderId="2" applyAlignment="1" pivotButton="0" quotePrefix="0" xfId="0">
      <alignment horizontal="center" vertical="center" wrapText="1"/>
    </xf>
    <xf numFmtId="0" fontId="13" fillId="0" borderId="0" applyAlignment="1" pivotButton="0" quotePrefix="0" xfId="0">
      <alignment horizontal="center" vertical="center"/>
    </xf>
    <xf numFmtId="0" fontId="14" fillId="2" borderId="0" applyAlignment="1" pivotButton="0" quotePrefix="0" xfId="0">
      <alignment horizontal="center" vertical="center"/>
    </xf>
    <xf numFmtId="0" fontId="15" fillId="5"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center" vertical="center" wrapText="1"/>
    </xf>
    <xf numFmtId="0" fontId="15" fillId="8" borderId="2" applyAlignment="1" pivotButton="0" quotePrefix="0" xfId="0">
      <alignment horizontal="center" vertical="center" wrapText="1"/>
    </xf>
    <xf numFmtId="0" fontId="17" fillId="0" borderId="0" applyAlignment="1" pivotButton="0" quotePrefix="0" xfId="0">
      <alignment horizontal="general" vertical="bottom"/>
    </xf>
    <xf numFmtId="0" fontId="14" fillId="7" borderId="0" applyAlignment="1" pivotButton="0" quotePrefix="0" xfId="0">
      <alignment horizontal="center" vertical="bottom"/>
    </xf>
    <xf numFmtId="0" fontId="14" fillId="6" borderId="0" applyAlignment="1" pivotButton="0" quotePrefix="0" xfId="0">
      <alignment horizontal="center" vertical="bottom"/>
    </xf>
    <xf numFmtId="0" fontId="18" fillId="5" borderId="0" applyAlignment="1" pivotButton="0" quotePrefix="0" xfId="0">
      <alignment horizontal="center" vertical="bottom"/>
    </xf>
    <xf numFmtId="0" fontId="18" fillId="8" borderId="0" applyAlignment="1" pivotButton="0" quotePrefix="0" xfId="0">
      <alignment horizontal="center" vertical="bottom"/>
    </xf>
    <xf numFmtId="0" fontId="19" fillId="0" borderId="0" applyAlignment="1" pivotButton="0" quotePrefix="0" xfId="0">
      <alignment horizontal="center" vertical="center"/>
    </xf>
    <xf numFmtId="0" fontId="20" fillId="2" borderId="0" applyAlignment="1" pivotButton="0" quotePrefix="0" xfId="0">
      <alignment horizontal="center" vertical="center"/>
    </xf>
    <xf numFmtId="0" fontId="21" fillId="2" borderId="0" applyAlignment="1" pivotButton="0" quotePrefix="0" xfId="0">
      <alignment horizontal="center" vertical="center"/>
    </xf>
    <xf numFmtId="0" fontId="7" fillId="0" borderId="0" applyAlignment="1" pivotButton="0" quotePrefix="0" xfId="0">
      <alignment horizontal="left"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11" fillId="2" borderId="2" applyAlignment="1" pivotButton="0" quotePrefix="0" xfId="0">
      <alignment horizontal="center" vertical="center" wrapText="1"/>
    </xf>
    <xf numFmtId="0" fontId="8" fillId="0" borderId="0" applyAlignment="1" pivotButton="0" quotePrefix="0" xfId="0">
      <alignment horizontal="general" vertical="bottom"/>
    </xf>
    <xf numFmtId="0" fontId="11" fillId="3" borderId="2" applyAlignment="1" pivotButton="0" quotePrefix="0" xfId="0">
      <alignment horizontal="center" vertical="center" wrapText="1"/>
    </xf>
    <xf numFmtId="0" fontId="8"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8" fillId="0" borderId="2" applyAlignment="1" pivotButton="0" quotePrefix="0" xfId="0">
      <alignment horizontal="left" vertical="center" wrapText="1"/>
    </xf>
    <xf numFmtId="0" fontId="12" fillId="4" borderId="2" applyAlignment="1" pivotButton="0" quotePrefix="0" xfId="0">
      <alignment horizontal="center" vertical="center" wrapText="1"/>
    </xf>
    <xf numFmtId="0" fontId="13" fillId="0" borderId="0" applyAlignment="1" pivotButton="0" quotePrefix="0" xfId="0">
      <alignment horizontal="center" vertical="center"/>
    </xf>
    <xf numFmtId="0" fontId="14" fillId="2" borderId="0" applyAlignment="1" pivotButton="0" quotePrefix="0" xfId="0">
      <alignment horizontal="center" vertical="center"/>
    </xf>
    <xf numFmtId="0" fontId="15" fillId="5"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center" vertical="center" wrapText="1"/>
    </xf>
    <xf numFmtId="0" fontId="15" fillId="8" borderId="2" applyAlignment="1" pivotButton="0" quotePrefix="0" xfId="0">
      <alignment horizontal="center" vertical="center" wrapText="1"/>
    </xf>
    <xf numFmtId="0" fontId="17" fillId="0" borderId="0" applyAlignment="1" pivotButton="0" quotePrefix="0" xfId="0">
      <alignment horizontal="general" vertical="bottom"/>
    </xf>
    <xf numFmtId="0" fontId="14" fillId="7" borderId="0" applyAlignment="1" pivotButton="0" quotePrefix="0" xfId="0">
      <alignment horizontal="center" vertical="bottom"/>
    </xf>
    <xf numFmtId="0" fontId="14" fillId="6" borderId="0" applyAlignment="1" pivotButton="0" quotePrefix="0" xfId="0">
      <alignment horizontal="center" vertical="bottom"/>
    </xf>
    <xf numFmtId="0" fontId="18" fillId="5" borderId="0" applyAlignment="1" pivotButton="0" quotePrefix="0" xfId="0">
      <alignment horizontal="center" vertical="bottom"/>
    </xf>
    <xf numFmtId="0" fontId="18" fillId="8" borderId="0" applyAlignment="1" pivotButton="0" quotePrefix="0" xfId="0">
      <alignment horizontal="center" vertical="bottom"/>
    </xf>
    <xf numFmtId="0" fontId="19" fillId="0" borderId="0" applyAlignment="1" pivotButton="0" quotePrefix="0" xfId="0">
      <alignment horizontal="center" vertical="center"/>
    </xf>
    <xf numFmtId="0" fontId="20" fillId="2" borderId="0" applyAlignment="1" pivotButton="0" quotePrefix="0" xfId="0">
      <alignment horizontal="center" vertical="center"/>
    </xf>
    <xf numFmtId="0" fontId="21" fillId="2" borderId="0" applyAlignment="1" pivotButton="0" quotePrefix="0" xfId="0">
      <alignment horizontal="center" vertical="center"/>
    </xf>
    <xf numFmtId="0" fontId="7" fillId="0" borderId="0" applyAlignment="1" pivotButton="0" quotePrefix="0" xfId="0">
      <alignment horizontal="lef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087F83"/>
          <bgColor rgb="FF000000"/>
        </patternFill>
      </fill>
    </dxf>
    <dxf>
      <fill>
        <patternFill patternType="solid">
          <bgColor rgb="FF000000"/>
        </patternFill>
      </fill>
    </dxf>
    <dxf>
      <fill>
        <patternFill patternType="solid">
          <fgColor rgb="FF173047"/>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3F6C3"/>
          <bgColor rgb="FF000000"/>
        </patternFill>
      </fill>
    </dxf>
    <dxf>
      <fill>
        <patternFill patternType="solid">
          <fgColor rgb="FFFF6B6B"/>
          <bgColor rgb="FF000000"/>
        </patternFill>
      </fill>
    </dxf>
    <dxf>
      <fill>
        <patternFill patternType="solid">
          <fgColor rgb="FFFFA94D"/>
          <bgColor rgb="FF000000"/>
        </patternFill>
      </fill>
    </dxf>
    <dxf>
      <fill>
        <patternFill patternType="solid">
          <fgColor rgb="FFFFE066"/>
          <bgColor rgb="FF000000"/>
        </patternFill>
      </fill>
    </dxf>
    <dxf>
      <font>
        <b val="1"/>
        <color rgb="FFFFFFFF"/>
      </font>
      <fill>
        <patternFill>
          <bgColor rgb="FFFF6B6B"/>
        </patternFill>
      </fill>
    </dxf>
    <dxf>
      <fill>
        <patternFill>
          <bgColor rgb="FFFFA94D"/>
        </patternFill>
      </fill>
    </dxf>
    <dxf>
      <fill>
        <patternFill>
          <bgColor rgb="FFFFE066"/>
        </patternFill>
      </fill>
    </dxf>
    <dxf>
      <fill>
        <patternFill>
          <bgColor rgb="FFC3F6C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87F83"/>
      <rgbColor rgb="FFD4E2EB"/>
      <rgbColor rgb="FF878787"/>
      <rgbColor rgb="FF9999FF"/>
      <rgbColor rgb="FFC0504D"/>
      <rgbColor rgb="FFFFFFCC"/>
      <rgbColor rgb="FFEAF7F7"/>
      <rgbColor rgb="FF660066"/>
      <rgbColor rgb="FFFF6B6B"/>
      <rgbColor rgb="FF0066CC"/>
      <rgbColor rgb="FFD9D9D9"/>
      <rgbColor rgb="FF000080"/>
      <rgbColor rgb="FFFF00FF"/>
      <rgbColor rgb="FFFFFF00"/>
      <rgbColor rgb="FF00FFFF"/>
      <rgbColor rgb="FF800080"/>
      <rgbColor rgb="FF800000"/>
      <rgbColor rgb="FF008080"/>
      <rgbColor rgb="FF0000FF"/>
      <rgbColor rgb="FF00CCFF"/>
      <rgbColor rgb="FFDCE6EB"/>
      <rgbColor rgb="FFC3F6C3"/>
      <rgbColor rgb="FFFFE066"/>
      <rgbColor rgb="FF99CCFF"/>
      <rgbColor rgb="FFFF99CC"/>
      <rgbColor rgb="FFCC99FF"/>
      <rgbColor rgb="FFF0CB67"/>
      <rgbColor rgb="FF4F81BD"/>
      <rgbColor rgb="FF33CCCC"/>
      <rgbColor rgb="FF9BBB59"/>
      <rgbColor rgb="FFFFA94D"/>
      <rgbColor rgb="FFD8A72B"/>
      <rgbColor rgb="FFFF6600"/>
      <rgbColor rgb="FF667789"/>
      <rgbColor rgb="FF969696"/>
      <rgbColor rgb="FF173047"/>
      <rgbColor rgb="FF339966"/>
      <rgbColor rgb="FF071F3B"/>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Risks by Category</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Dashboard!C10</f>
              <strCache>
                <ptCount val="1"/>
                <pt idx="0">
                  <v>Count</v>
                </pt>
              </strCache>
            </strRef>
          </tx>
          <spPr>
            <a:solidFill xmlns:a="http://schemas.openxmlformats.org/drawingml/2006/main">
              <a:srgbClr val="4F81BD"/>
            </a:solidFill>
            <a:ln xmlns:a="http://schemas.openxmlformats.org/drawingml/2006/main" w="1260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
                </a:r>
              </a:p>
            </txPr>
            <showLegendKey val="0"/>
            <showVal val="0"/>
            <showCatName val="0"/>
            <showSerName val="0"/>
            <showPercent val="0"/>
            <showLeaderLines val="1"/>
          </dLbls>
          <cat>
            <strRef>
              <f>Dashboard!$B$11:$B$19</f>
              <strCache>
                <ptCount val="9"/>
                <pt idx="0">
                  <v>Clinical</v>
                </pt>
                <pt idx="1">
                  <v>Operational</v>
                </pt>
                <pt idx="2">
                  <v>Financial</v>
                </pt>
                <pt idx="3">
                  <v>Compliance</v>
                </pt>
                <pt idx="4">
                  <v>Safety</v>
                </pt>
                <pt idx="5">
                  <v>Equipment</v>
                </pt>
                <pt idx="6">
                  <v>IT/Data</v>
                </pt>
                <pt idx="7">
                  <v>Personnel</v>
                </pt>
                <pt idx="8">
                  <v>Facility</v>
                </pt>
              </strCache>
            </strRef>
          </cat>
          <val>
            <numRef>
              <f>Dashboard!$C$11:$C$19</f>
              <numCache>
                <formatCode>General</formatCode>
                <ptCount val="9"/>
                <pt idx="0">
                  <v>2</v>
                </pt>
                <pt idx="1">
                  <v>1</v>
                </pt>
                <pt idx="2">
                  <v>1</v>
                </pt>
                <pt idx="3">
                  <v>1</v>
                </pt>
                <pt idx="4">
                  <v>1</v>
                </pt>
                <pt idx="5">
                  <v>1</v>
                </pt>
                <pt idx="6">
                  <v>1</v>
                </pt>
                <pt idx="7">
                  <v>1</v>
                </pt>
                <pt idx="8">
                  <v>1</v>
                </pt>
              </numCache>
            </numRef>
          </val>
        </ser>
        <ser>
          <idx val="1"/>
          <order val="1"/>
          <tx>
            <strRef>
              <f>Dashboard!D10</f>
              <strCache>
                <ptCount val="1"/>
                <pt idx="0">
                  <v>Critical</v>
                </pt>
              </strCache>
            </strRef>
          </tx>
          <spPr>
            <a:solidFill xmlns:a="http://schemas.openxmlformats.org/drawingml/2006/main">
              <a:srgbClr val="C0504D"/>
            </a:solidFill>
            <a:ln xmlns:a="http://schemas.openxmlformats.org/drawingml/2006/main" w="1260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
                </a:r>
              </a:p>
            </txPr>
            <showLegendKey val="0"/>
            <showVal val="0"/>
            <showCatName val="0"/>
            <showSerName val="0"/>
            <showPercent val="0"/>
            <showLeaderLines val="1"/>
          </dLbls>
          <cat>
            <strRef>
              <f>Dashboard!$B$11:$B$19</f>
              <strCache>
                <ptCount val="9"/>
                <pt idx="0">
                  <v>Clinical</v>
                </pt>
                <pt idx="1">
                  <v>Operational</v>
                </pt>
                <pt idx="2">
                  <v>Financial</v>
                </pt>
                <pt idx="3">
                  <v>Compliance</v>
                </pt>
                <pt idx="4">
                  <v>Safety</v>
                </pt>
                <pt idx="5">
                  <v>Equipment</v>
                </pt>
                <pt idx="6">
                  <v>IT/Data</v>
                </pt>
                <pt idx="7">
                  <v>Personnel</v>
                </pt>
                <pt idx="8">
                  <v>Facility</v>
                </pt>
              </strCache>
            </strRef>
          </cat>
          <val>
            <numRef>
              <f>Dashboard!$D$11:$D$19</f>
              <numCache>
                <formatCode>General</formatCode>
                <ptCount val="9"/>
                <pt idx="0">
                  <v>1</v>
                </pt>
                <pt idx="1">
                  <v>0</v>
                </pt>
                <pt idx="2">
                  <v>0</v>
                </pt>
                <pt idx="3">
                  <v>0</v>
                </pt>
                <pt idx="4">
                  <v>0</v>
                </pt>
                <pt idx="5">
                  <v>0</v>
                </pt>
                <pt idx="6">
                  <v>0</v>
                </pt>
                <pt idx="7">
                  <v>0</v>
                </pt>
                <pt idx="8">
                  <v>0</v>
                </pt>
              </numCache>
            </numRef>
          </val>
        </ser>
        <ser>
          <idx val="2"/>
          <order val="2"/>
          <tx>
            <strRef>
              <f>Dashboard!E10</f>
              <strCache>
                <ptCount val="1"/>
                <pt idx="0">
                  <v>High</v>
                </pt>
              </strCache>
            </strRef>
          </tx>
          <spPr>
            <a:solidFill xmlns:a="http://schemas.openxmlformats.org/drawingml/2006/main">
              <a:srgbClr val="9BBB59"/>
            </a:solidFill>
            <a:ln xmlns:a="http://schemas.openxmlformats.org/drawingml/2006/main" w="1260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
                </a:r>
              </a:p>
            </txPr>
            <showLegendKey val="0"/>
            <showVal val="0"/>
            <showCatName val="0"/>
            <showSerName val="0"/>
            <showPercent val="0"/>
            <showLeaderLines val="1"/>
          </dLbls>
          <cat>
            <strRef>
              <f>Dashboard!$B$11:$B$19</f>
              <strCache>
                <ptCount val="9"/>
                <pt idx="0">
                  <v>Clinical</v>
                </pt>
                <pt idx="1">
                  <v>Operational</v>
                </pt>
                <pt idx="2">
                  <v>Financial</v>
                </pt>
                <pt idx="3">
                  <v>Compliance</v>
                </pt>
                <pt idx="4">
                  <v>Safety</v>
                </pt>
                <pt idx="5">
                  <v>Equipment</v>
                </pt>
                <pt idx="6">
                  <v>IT/Data</v>
                </pt>
                <pt idx="7">
                  <v>Personnel</v>
                </pt>
                <pt idx="8">
                  <v>Facility</v>
                </pt>
              </strCache>
            </strRef>
          </cat>
          <val>
            <numRef>
              <f>Dashboard!$E$11:$E$19</f>
              <numCache>
                <formatCode>General</formatCode>
                <ptCount val="9"/>
                <pt idx="0">
                  <v>1</v>
                </pt>
                <pt idx="1">
                  <v>1</v>
                </pt>
                <pt idx="2">
                  <v>0</v>
                </pt>
                <pt idx="3">
                  <v>0</v>
                </pt>
                <pt idx="4">
                  <v>1</v>
                </pt>
                <pt idx="5">
                  <v>1</v>
                </pt>
                <pt idx="6">
                  <v>1</v>
                </pt>
                <pt idx="7">
                  <v>1</v>
                </pt>
                <pt idx="8">
                  <v>0</v>
                </pt>
              </numCache>
            </numRef>
          </val>
        </ser>
        <gapWidth val="150"/>
        <overlap val="0"/>
        <axId val="63204802"/>
        <axId val="1090714"/>
      </barChart>
      <catAx>
        <axId val="6320480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crossAx val="1090714"/>
        <crosses val="autoZero"/>
        <auto val="1"/>
        <lblAlgn val="ctr"/>
        <lblOffset val="100"/>
        <noMultiLvlLbl val="0"/>
      </catAx>
      <valAx>
        <axId val="1090714"/>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Count</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crossAx val="63204802"/>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Inherent vs Residual Risk</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Dashboard!C23</f>
              <strCache>
                <ptCount val="1"/>
                <pt idx="0">
                  <v>15</v>
                </pt>
              </strCache>
            </strRef>
          </tx>
          <spPr>
            <a:solidFill xmlns:a="http://schemas.openxmlformats.org/drawingml/2006/main">
              <a:srgbClr val="4F81BD"/>
            </a:solidFill>
            <a:ln xmlns:a="http://schemas.openxmlformats.org/drawingml/2006/main" w="1260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
                </a:r>
              </a:p>
            </txPr>
            <showLegendKey val="0"/>
            <showVal val="0"/>
            <showCatName val="0"/>
            <showSerName val="0"/>
            <showPercent val="0"/>
            <showLeaderLines val="1"/>
          </dLbls>
          <cat>
            <strRef>
              <f>Dashboard!$B$24:$B$27</f>
              <strCache>
                <ptCount val="4"/>
                <pt idx="0">
                  <v>R002</v>
                </pt>
                <pt idx="1">
                  <v>R003</v>
                </pt>
                <pt idx="2">
                  <v>R004</v>
                </pt>
                <pt idx="3">
                  <v>R005</v>
                </pt>
              </strCache>
            </strRef>
          </cat>
          <val>
            <numRef>
              <f>Dashboard!$C$24:$C$27</f>
              <numCache>
                <formatCode>General</formatCode>
                <ptCount val="4"/>
                <pt idx="0">
                  <v>8</v>
                </pt>
                <pt idx="1">
                  <v>9</v>
                </pt>
                <pt idx="2">
                  <v>10</v>
                </pt>
                <pt idx="3">
                  <v>12</v>
                </pt>
              </numCache>
            </numRef>
          </val>
        </ser>
        <ser>
          <idx val="1"/>
          <order val="1"/>
          <tx>
            <strRef>
              <f>Dashboard!D23</f>
              <strCache>
                <ptCount val="1"/>
                <pt idx="0">
                  <v>6</v>
                </pt>
              </strCache>
            </strRef>
          </tx>
          <spPr>
            <a:solidFill xmlns:a="http://schemas.openxmlformats.org/drawingml/2006/main">
              <a:srgbClr val="C0504D"/>
            </a:solidFill>
            <a:ln xmlns:a="http://schemas.openxmlformats.org/drawingml/2006/main" w="1260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
                </a:r>
              </a:p>
            </txPr>
            <showLegendKey val="0"/>
            <showVal val="0"/>
            <showCatName val="0"/>
            <showSerName val="0"/>
            <showPercent val="0"/>
            <showLeaderLines val="1"/>
          </dLbls>
          <cat>
            <strRef>
              <f>Dashboard!$B$24:$B$27</f>
              <strCache>
                <ptCount val="4"/>
                <pt idx="0">
                  <v>R002</v>
                </pt>
                <pt idx="1">
                  <v>R003</v>
                </pt>
                <pt idx="2">
                  <v>R004</v>
                </pt>
                <pt idx="3">
                  <v>R005</v>
                </pt>
              </strCache>
            </strRef>
          </cat>
          <val>
            <numRef>
              <f>Dashboard!$D$24:$D$27</f>
              <numCache>
                <formatCode>General</formatCode>
                <ptCount val="4"/>
                <pt idx="0">
                  <v>2</v>
                </pt>
                <pt idx="1">
                  <v>4</v>
                </pt>
                <pt idx="2">
                  <v>3</v>
                </pt>
                <pt idx="3">
                  <v>3</v>
                </pt>
              </numCache>
            </numRef>
          </val>
        </ser>
        <gapWidth val="150"/>
        <overlap val="0"/>
        <axId val="70321159"/>
        <axId val="2685713"/>
      </barChart>
      <catAx>
        <axId val="70321159"/>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crossAx val="2685713"/>
        <crosses val="autoZero"/>
        <auto val="1"/>
        <lblAlgn val="ctr"/>
        <lblOffset val="100"/>
        <noMultiLvlLbl val="0"/>
      </catAx>
      <valAx>
        <axId val="2685713"/>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Score</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crossAx val="70321159"/>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editAs="oneCell">
    <from>
      <col>1</col>
      <colOff>0</colOff>
      <row>1</row>
      <rowOff>0</rowOff>
    </from>
    <to>
      <col>1</col>
      <colOff>1095120</colOff>
      <row>4</row>
      <rowOff>94680</rowOff>
    </to>
    <pic>
      <nvPicPr>
        <cNvPr id="1"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095120" cy="666360"/>
        </a:xfrm>
        <a:prstGeom xmlns:a="http://schemas.openxmlformats.org/drawingml/2006/main" prst="rect">
          <avLst/>
        </a:prstGeom>
        <a:noFill xmlns:a="http://schemas.openxmlformats.org/drawingml/2006/main"/>
        <a:ln xmlns:a="http://schemas.openxmlformats.org/drawingml/2006/main" w="0">
          <a:noFill/>
          <a:prstDash val="solid"/>
        </a:ln>
      </spPr>
    </pic>
    <clientData/>
  </twoCellAnchor>
</wsDr>
</file>

<file path=xl/drawings/drawing2.xml><?xml version="1.0" encoding="utf-8"?>
<wsDr xmlns="http://schemas.openxmlformats.org/drawingml/2006/spreadsheetDrawing">
  <twoCellAnchor editAs="oneCell">
    <from>
      <col>6</col>
      <colOff>0</colOff>
      <row>8</row>
      <rowOff>0</rowOff>
    </from>
    <to>
      <col>12</col>
      <colOff>559080</colOff>
      <row>23</row>
      <rowOff>153360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6</col>
      <colOff>0</colOff>
      <row>21</row>
      <rowOff>0</rowOff>
    </from>
    <to>
      <col>11</col>
      <colOff>105840</colOff>
      <row>35</row>
      <rowOff>98280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filterMode="0">
    <outlinePr summaryBelow="1" summaryRight="1"/>
    <pageSetUpPr fitToPage="1"/>
  </sheetPr>
  <dimension ref="B9:C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 customWidth="1" style="31" min="1" max="1"/>
    <col width="55" customWidth="1" style="31" min="2" max="2"/>
    <col width="3" customWidth="1" style="31" min="3" max="3"/>
  </cols>
  <sheetData>
    <row r="9" ht="26.8" customHeight="1" s="32">
      <c r="B9" s="33" t="inlineStr">
        <is>
          <t>Risk Register Template</t>
        </is>
      </c>
    </row>
    <row r="10" ht="15" customHeight="1" s="32">
      <c r="B10" s="34" t="inlineStr">
        <is>
          <t>AHQS — Accelerate Healthcare Quality Solutions</t>
        </is>
      </c>
    </row>
    <row r="12" ht="15" customHeight="1" s="32">
      <c r="B12" s="35" t="n"/>
      <c r="C12" s="35" t="n"/>
    </row>
    <row r="13" ht="49.5" customHeight="1" s="32">
      <c r="B13" s="36" t="inlineStr">
        <is>
          <t>A comprehensive risk management tool with inherent and residual risk scoring, 5x5 matrix heatmap, mitigation tracking, and a visual dashboard.</t>
        </is>
      </c>
    </row>
    <row r="15" ht="16.15" customHeight="1" s="32">
      <c r="B15" s="37" t="inlineStr">
        <is>
          <t>Key Features</t>
        </is>
      </c>
    </row>
    <row r="16" ht="15" customHeight="1" s="32">
      <c r="B16" s="38" t="inlineStr">
        <is>
          <t xml:space="preserve">  •  Inherent and residual risk scoring (likelihood x severity)</t>
        </is>
      </c>
    </row>
    <row r="17" ht="15" customHeight="1" s="32">
      <c r="B17" s="38" t="inlineStr">
        <is>
          <t xml:space="preserve">  •  5x5 risk matrix with color-coded heatmap</t>
        </is>
      </c>
    </row>
    <row r="18" ht="15" customHeight="1" s="32">
      <c r="B18" s="38" t="inlineStr">
        <is>
          <t xml:space="preserve">  •  Risk category breakdown with counts</t>
        </is>
      </c>
    </row>
    <row r="19" ht="15" customHeight="1" s="32">
      <c r="B19" s="38" t="inlineStr">
        <is>
          <t xml:space="preserve">  •  Mitigation action tracking with owners and deadlines</t>
        </is>
      </c>
    </row>
    <row r="20" ht="15" customHeight="1" s="32">
      <c r="B20" s="38" t="inlineStr">
        <is>
          <t xml:space="preserve">  •  Top risks dashboard with charts</t>
        </is>
      </c>
    </row>
    <row r="21" ht="15" customHeight="1" s="32">
      <c r="B21" s="38" t="inlineStr">
        <is>
          <t xml:space="preserve">  •  Auto-calculated risk reduction (delta)</t>
        </is>
      </c>
    </row>
    <row r="23" ht="16.15" customHeight="1" s="32">
      <c r="B23" s="37" t="inlineStr">
        <is>
          <t>How to Use</t>
        </is>
      </c>
    </row>
    <row r="24" ht="15" customHeight="1" s="32">
      <c r="B24" s="38" t="inlineStr">
        <is>
          <t>1.  Start with the Data Entry sheet — fill in yellow-shaded input cells only</t>
        </is>
      </c>
    </row>
    <row r="25" ht="15" customHeight="1" s="32">
      <c r="B25" s="38" t="inlineStr">
        <is>
          <t>2.  Blue-shaded cells contain formulas — do not overwrite them</t>
        </is>
      </c>
    </row>
    <row r="26" ht="15" customHeight="1" s="32">
      <c r="B26" s="38" t="inlineStr">
        <is>
          <t>3.  Use dropdown menus for standardized entries</t>
        </is>
      </c>
    </row>
    <row r="27" ht="15" customHeight="1" s="32">
      <c r="B27" s="38" t="inlineStr">
        <is>
          <t>4.  Check the Dashboard sheet for auto-calculated metrics and charts</t>
        </is>
      </c>
    </row>
    <row r="28" ht="15" customHeight="1" s="32">
      <c r="B28" s="38" t="inlineStr">
        <is>
          <t>5.  Save a copy for each audit cycle or reporting period</t>
        </is>
      </c>
    </row>
    <row r="29" ht="15" customHeight="1" s="32">
      <c r="B29" s="38" t="inlineStr">
        <is>
          <t>6.  This tool is free to use for internal quality improvement</t>
        </is>
      </c>
    </row>
    <row r="31" ht="16.15" customHeight="1" s="32">
      <c r="B31" s="37" t="inlineStr">
        <is>
          <t>Disclaimer &amp; License</t>
        </is>
      </c>
    </row>
    <row r="32" ht="64.5" customHeight="1" s="32">
      <c r="B32" s="39" t="inlineStr">
        <is>
          <t>This is an AHQS-created quality improvement tool. It is not an official CAP, ISO 15189, JCI or AABB standards document, and does not reproduce official standards text. Always purchase official standards directly from the accrediting bodies. This template is provided free of charge for internal quality improvement use. © 2026 Accelerate Healthcare Quality Solutions (AHQS). Not for resale.</t>
        </is>
      </c>
    </row>
    <row r="34" ht="15" customHeight="1" s="32">
      <c r="B34" s="40" t="inlineStr">
        <is>
          <t>Tool ID: AHQS-RSK-002  |  Version: 2.0  |  Created: October 2026  |  AHQS Healthcare Quality Solutions</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5" customWidth="1" style="31" min="1" max="4"/>
  </cols>
  <sheetData>
    <row r="1" ht="15" customHeight="1" s="32">
      <c r="A1" s="41" t="inlineStr">
        <is>
          <t>Categories</t>
        </is>
      </c>
      <c r="B1" s="41" t="inlineStr">
        <is>
          <t>Risk_Levels</t>
        </is>
      </c>
      <c r="C1" s="41" t="inlineStr">
        <is>
          <t>Status</t>
        </is>
      </c>
      <c r="D1" s="41" t="inlineStr">
        <is>
          <t>Owners</t>
        </is>
      </c>
    </row>
    <row r="2" ht="15" customHeight="1" s="32">
      <c r="A2" s="42" t="inlineStr">
        <is>
          <t>Clinical</t>
        </is>
      </c>
      <c r="B2" s="42" t="inlineStr">
        <is>
          <t>Low</t>
        </is>
      </c>
      <c r="C2" s="42" t="inlineStr">
        <is>
          <t>Open</t>
        </is>
      </c>
      <c r="D2" s="42" t="inlineStr">
        <is>
          <t>Lab Manager</t>
        </is>
      </c>
    </row>
    <row r="3" ht="15" customHeight="1" s="32">
      <c r="A3" s="42" t="inlineStr">
        <is>
          <t>Operational</t>
        </is>
      </c>
      <c r="B3" s="42" t="inlineStr">
        <is>
          <t>Medium</t>
        </is>
      </c>
      <c r="C3" s="42" t="inlineStr">
        <is>
          <t>Mitigated</t>
        </is>
      </c>
      <c r="D3" s="42" t="inlineStr">
        <is>
          <t>Quality Manager</t>
        </is>
      </c>
    </row>
    <row r="4" ht="15" customHeight="1" s="32">
      <c r="A4" s="42" t="inlineStr">
        <is>
          <t>Financial</t>
        </is>
      </c>
      <c r="B4" s="42" t="inlineStr">
        <is>
          <t>High</t>
        </is>
      </c>
      <c r="C4" s="42" t="inlineStr">
        <is>
          <t>Closed</t>
        </is>
      </c>
      <c r="D4" s="42" t="inlineStr">
        <is>
          <t>Medical Director</t>
        </is>
      </c>
    </row>
    <row r="5" ht="15" customHeight="1" s="32">
      <c r="A5" s="42" t="inlineStr">
        <is>
          <t>Compliance</t>
        </is>
      </c>
      <c r="B5" s="42" t="inlineStr">
        <is>
          <t>Critical</t>
        </is>
      </c>
      <c r="C5" s="42" t="inlineStr">
        <is>
          <t>Monitoring</t>
        </is>
      </c>
      <c r="D5" s="42" t="inlineStr">
        <is>
          <t>Safety Officer</t>
        </is>
      </c>
    </row>
    <row r="6" ht="15" customHeight="1" s="32">
      <c r="A6" s="42" t="inlineStr">
        <is>
          <t>Safety</t>
        </is>
      </c>
      <c r="C6" s="42" t="inlineStr">
        <is>
          <t>Escalated</t>
        </is>
      </c>
      <c r="D6" s="42" t="inlineStr">
        <is>
          <t>IT Manager</t>
        </is>
      </c>
    </row>
    <row r="7" ht="15" customHeight="1" s="32">
      <c r="A7" s="42" t="inlineStr">
        <is>
          <t>Equipment</t>
        </is>
      </c>
      <c r="D7" s="42" t="inlineStr">
        <is>
          <t>HR Manager</t>
        </is>
      </c>
    </row>
    <row r="8" ht="15" customHeight="1" s="32">
      <c r="A8" s="42" t="inlineStr">
        <is>
          <t>IT/Data</t>
        </is>
      </c>
    </row>
    <row r="9" ht="15" customHeight="1" s="32">
      <c r="A9" s="42" t="inlineStr">
        <is>
          <t>Personnel</t>
        </is>
      </c>
    </row>
    <row r="10" ht="15" customHeight="1" s="32">
      <c r="A10" s="42" t="inlineStr">
        <is>
          <t>Facility</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R4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4" customWidth="1" style="31" min="1" max="1"/>
    <col width="10" customWidth="1" style="31" min="2" max="2"/>
    <col width="12" customWidth="1" style="31" min="3" max="3"/>
    <col width="14" customWidth="1" style="31" min="4" max="4"/>
    <col width="35" customWidth="1" style="31" min="5" max="5"/>
    <col width="10" customWidth="1" style="31" min="6" max="9"/>
    <col width="30" customWidth="1" style="31" min="10" max="10"/>
    <col width="10" customWidth="1" style="31" min="11" max="14"/>
    <col width="14" customWidth="1" style="31" min="15" max="15"/>
    <col width="12" customWidth="1" style="31" min="16" max="18"/>
  </cols>
  <sheetData>
    <row r="1" ht="39.75" customHeight="1" s="32">
      <c r="A1" s="43" t="inlineStr">
        <is>
          <t>#</t>
        </is>
      </c>
      <c r="B1" s="43" t="inlineStr">
        <is>
          <t>Risk ID</t>
        </is>
      </c>
      <c r="C1" s="43" t="inlineStr">
        <is>
          <t>Date</t>
        </is>
      </c>
      <c r="D1" s="43" t="inlineStr">
        <is>
          <t>Category</t>
        </is>
      </c>
      <c r="E1" s="43" t="inlineStr">
        <is>
          <t>Risk Description</t>
        </is>
      </c>
      <c r="F1" s="43" t="inlineStr">
        <is>
          <t>Likelihood (1-5)</t>
        </is>
      </c>
      <c r="G1" s="43" t="inlineStr">
        <is>
          <t>Severity (1-5)</t>
        </is>
      </c>
      <c r="H1" s="43" t="inlineStr">
        <is>
          <t>Inherent Score</t>
        </is>
      </c>
      <c r="I1" s="43" t="inlineStr">
        <is>
          <t>Inherent Rating</t>
        </is>
      </c>
      <c r="J1" s="43" t="inlineStr">
        <is>
          <t>Mitigation Action</t>
        </is>
      </c>
      <c r="K1" s="43" t="inlineStr">
        <is>
          <t>Residual Likelihood</t>
        </is>
      </c>
      <c r="L1" s="43" t="inlineStr">
        <is>
          <t>Residual Severity</t>
        </is>
      </c>
      <c r="M1" s="43" t="inlineStr">
        <is>
          <t>Residual Score</t>
        </is>
      </c>
      <c r="N1" s="43" t="inlineStr">
        <is>
          <t>Residual Rating</t>
        </is>
      </c>
      <c r="O1" s="43" t="inlineStr">
        <is>
          <t>Owner</t>
        </is>
      </c>
      <c r="P1" s="43" t="inlineStr">
        <is>
          <t>Target Date</t>
        </is>
      </c>
      <c r="Q1" s="43" t="inlineStr">
        <is>
          <t>Status</t>
        </is>
      </c>
      <c r="R1" s="43" t="inlineStr">
        <is>
          <t>Review Date</t>
        </is>
      </c>
    </row>
    <row r="2" ht="23.85" customHeight="1" s="32">
      <c r="A2" s="44" t="n">
        <v>1</v>
      </c>
      <c r="B2" s="45" t="inlineStr">
        <is>
          <t>R001</t>
        </is>
      </c>
      <c r="C2" s="44" t="inlineStr">
        <is>
          <t>2026-01-15</t>
        </is>
      </c>
      <c r="D2" s="46" t="inlineStr">
        <is>
          <t>Clinical</t>
        </is>
      </c>
      <c r="E2" s="46" t="inlineStr">
        <is>
          <t>Delayed critical value reporting to requesting physician</t>
        </is>
      </c>
      <c r="F2" s="44" t="n">
        <v>3</v>
      </c>
      <c r="G2" s="44" t="n">
        <v>5</v>
      </c>
      <c r="H2" s="47">
        <f>F2*G2</f>
        <v/>
      </c>
      <c r="I2" s="45">
        <f>IF(H2&gt;=15,"Critical",IF(H2&gt;=9,"High",IF(H2&gt;=4,"Medium","Low")))</f>
        <v/>
      </c>
      <c r="J2" s="46" t="inlineStr">
        <is>
          <t>Implement automated alert system for critical values</t>
        </is>
      </c>
      <c r="K2" s="44" t="n">
        <v>2</v>
      </c>
      <c r="L2" s="44" t="n">
        <v>3</v>
      </c>
      <c r="M2" s="47">
        <f>K2*L2</f>
        <v/>
      </c>
      <c r="N2" s="45">
        <f>IF(M2&gt;=15,"Critical",IF(M2&gt;=9,"High",IF(M2&gt;=4,"Medium","Low")))</f>
        <v/>
      </c>
      <c r="O2" s="46" t="n"/>
      <c r="P2" s="46" t="n"/>
      <c r="Q2" s="46" t="n"/>
      <c r="R2" s="46" t="n"/>
    </row>
    <row r="3" ht="23.85" customHeight="1" s="32">
      <c r="A3" s="44" t="n">
        <v>2</v>
      </c>
      <c r="B3" s="45" t="inlineStr">
        <is>
          <t>R002</t>
        </is>
      </c>
      <c r="C3" s="44" t="inlineStr">
        <is>
          <t>2026-01-20</t>
        </is>
      </c>
      <c r="D3" s="46" t="inlineStr">
        <is>
          <t>Compliance</t>
        </is>
      </c>
      <c r="E3" s="46" t="inlineStr">
        <is>
          <t>Expired reagents in use on automated analyzer</t>
        </is>
      </c>
      <c r="F3" s="44" t="n">
        <v>2</v>
      </c>
      <c r="G3" s="44" t="n">
        <v>4</v>
      </c>
      <c r="H3" s="47">
        <f>F3*G3</f>
        <v/>
      </c>
      <c r="I3" s="45">
        <f>IF(H3&gt;=15,"Critical",IF(H3&gt;=9,"High",IF(H3&gt;=4,"Medium","Low")))</f>
        <v/>
      </c>
      <c r="J3" s="46" t="inlineStr">
        <is>
          <t>Implement barcode scanning for reagent verification</t>
        </is>
      </c>
      <c r="K3" s="44" t="n">
        <v>1</v>
      </c>
      <c r="L3" s="44" t="n">
        <v>2</v>
      </c>
      <c r="M3" s="47">
        <f>K3*L3</f>
        <v/>
      </c>
      <c r="N3" s="45">
        <f>IF(M3&gt;=15,"Critical",IF(M3&gt;=9,"High",IF(M3&gt;=4,"Medium","Low")))</f>
        <v/>
      </c>
      <c r="O3" s="46" t="n"/>
      <c r="P3" s="46" t="n"/>
      <c r="Q3" s="46" t="n"/>
      <c r="R3" s="46" t="n"/>
    </row>
    <row r="4" ht="23.85" customHeight="1" s="32">
      <c r="A4" s="44" t="n">
        <v>3</v>
      </c>
      <c r="B4" s="45" t="inlineStr">
        <is>
          <t>R003</t>
        </is>
      </c>
      <c r="C4" s="44" t="inlineStr">
        <is>
          <t>2026-02-01</t>
        </is>
      </c>
      <c r="D4" s="46" t="inlineStr">
        <is>
          <t>Safety</t>
        </is>
      </c>
      <c r="E4" s="46" t="inlineStr">
        <is>
          <t>Inadequate PPE compliance in specimen processing area</t>
        </is>
      </c>
      <c r="F4" s="44" t="n">
        <v>3</v>
      </c>
      <c r="G4" s="44" t="n">
        <v>3</v>
      </c>
      <c r="H4" s="47">
        <f>F4*G4</f>
        <v/>
      </c>
      <c r="I4" s="45">
        <f>IF(H4&gt;=15,"Critical",IF(H4&gt;=9,"High",IF(H4&gt;=4,"Medium","Low")))</f>
        <v/>
      </c>
      <c r="J4" s="46" t="inlineStr">
        <is>
          <t>Mandatory PPE training and spot audits</t>
        </is>
      </c>
      <c r="K4" s="44" t="n">
        <v>2</v>
      </c>
      <c r="L4" s="44" t="n">
        <v>2</v>
      </c>
      <c r="M4" s="47">
        <f>K4*L4</f>
        <v/>
      </c>
      <c r="N4" s="45">
        <f>IF(M4&gt;=15,"Critical",IF(M4&gt;=9,"High",IF(M4&gt;=4,"Medium","Low")))</f>
        <v/>
      </c>
      <c r="O4" s="46" t="n"/>
      <c r="P4" s="46" t="n"/>
      <c r="Q4" s="46" t="n"/>
      <c r="R4" s="46" t="n"/>
    </row>
    <row r="5" ht="23.85" customHeight="1" s="32">
      <c r="A5" s="44" t="n">
        <v>4</v>
      </c>
      <c r="B5" s="45" t="inlineStr">
        <is>
          <t>R004</t>
        </is>
      </c>
      <c r="C5" s="44" t="inlineStr">
        <is>
          <t>2026-02-10</t>
        </is>
      </c>
      <c r="D5" s="46" t="inlineStr">
        <is>
          <t>Equipment</t>
        </is>
      </c>
      <c r="E5" s="46" t="inlineStr">
        <is>
          <t>Analyzer calibration drift affecting QC results</t>
        </is>
      </c>
      <c r="F5" s="44" t="n">
        <v>2</v>
      </c>
      <c r="G5" s="44" t="n">
        <v>5</v>
      </c>
      <c r="H5" s="47">
        <f>F5*G5</f>
        <v/>
      </c>
      <c r="I5" s="45">
        <f>IF(H5&gt;=15,"Critical",IF(H5&gt;=9,"High",IF(H5&gt;=4,"Medium","Low")))</f>
        <v/>
      </c>
      <c r="J5" s="46" t="inlineStr">
        <is>
          <t>Implement daily calibration verification and trending</t>
        </is>
      </c>
      <c r="K5" s="44" t="n">
        <v>1</v>
      </c>
      <c r="L5" s="44" t="n">
        <v>3</v>
      </c>
      <c r="M5" s="47">
        <f>K5*L5</f>
        <v/>
      </c>
      <c r="N5" s="45">
        <f>IF(M5&gt;=15,"Critical",IF(M5&gt;=9,"High",IF(M5&gt;=4,"Medium","Low")))</f>
        <v/>
      </c>
      <c r="O5" s="46" t="n"/>
      <c r="P5" s="46" t="n"/>
      <c r="Q5" s="46" t="n"/>
      <c r="R5" s="46" t="n"/>
    </row>
    <row r="6" ht="23.85" customHeight="1" s="32">
      <c r="A6" s="44" t="n">
        <v>5</v>
      </c>
      <c r="B6" s="45" t="inlineStr">
        <is>
          <t>R005</t>
        </is>
      </c>
      <c r="C6" s="44" t="inlineStr">
        <is>
          <t>2026-02-15</t>
        </is>
      </c>
      <c r="D6" s="46" t="inlineStr">
        <is>
          <t>IT/Data</t>
        </is>
      </c>
      <c r="E6" s="46" t="inlineStr">
        <is>
          <t>LIS downtime during peak testing hours</t>
        </is>
      </c>
      <c r="F6" s="44" t="n">
        <v>3</v>
      </c>
      <c r="G6" s="44" t="n">
        <v>4</v>
      </c>
      <c r="H6" s="47">
        <f>F6*G6</f>
        <v/>
      </c>
      <c r="I6" s="45">
        <f>IF(H6&gt;=15,"Critical",IF(H6&gt;=9,"High",IF(H6&gt;=4,"Medium","Low")))</f>
        <v/>
      </c>
      <c r="J6" s="46" t="inlineStr">
        <is>
          <t>Implement redundant server with automatic failover</t>
        </is>
      </c>
      <c r="K6" s="44" t="n">
        <v>1</v>
      </c>
      <c r="L6" s="44" t="n">
        <v>3</v>
      </c>
      <c r="M6" s="47">
        <f>K6*L6</f>
        <v/>
      </c>
      <c r="N6" s="45">
        <f>IF(M6&gt;=15,"Critical",IF(M6&gt;=9,"High",IF(M6&gt;=4,"Medium","Low")))</f>
        <v/>
      </c>
      <c r="O6" s="46" t="n"/>
      <c r="P6" s="46" t="n"/>
      <c r="Q6" s="46" t="n"/>
      <c r="R6" s="46" t="n"/>
    </row>
    <row r="7" ht="23.85" customHeight="1" s="32">
      <c r="A7" s="44" t="n">
        <v>6</v>
      </c>
      <c r="B7" s="45" t="inlineStr">
        <is>
          <t>R006</t>
        </is>
      </c>
      <c r="C7" s="44" t="inlineStr">
        <is>
          <t>2026-03-01</t>
        </is>
      </c>
      <c r="D7" s="46" t="inlineStr">
        <is>
          <t>Operational</t>
        </is>
      </c>
      <c r="E7" s="46" t="inlineStr">
        <is>
          <t>Insufficient staffing during peak hours</t>
        </is>
      </c>
      <c r="F7" s="44" t="n">
        <v>3</v>
      </c>
      <c r="G7" s="44" t="n">
        <v>3</v>
      </c>
      <c r="H7" s="47">
        <f>F7*G7</f>
        <v/>
      </c>
      <c r="I7" s="45">
        <f>IF(H7&gt;=15,"Critical",IF(H7&gt;=9,"High",IF(H7&gt;=4,"Medium","Low")))</f>
        <v/>
      </c>
      <c r="J7" s="46" t="inlineStr">
        <is>
          <t>Cross-train staff and implement flexible scheduling</t>
        </is>
      </c>
      <c r="K7" s="44" t="n">
        <v>2</v>
      </c>
      <c r="L7" s="44" t="n">
        <v>2</v>
      </c>
      <c r="M7" s="47">
        <f>K7*L7</f>
        <v/>
      </c>
      <c r="N7" s="45">
        <f>IF(M7&gt;=15,"Critical",IF(M7&gt;=9,"High",IF(M7&gt;=4,"Medium","Low")))</f>
        <v/>
      </c>
      <c r="O7" s="46" t="n"/>
      <c r="P7" s="46" t="n"/>
      <c r="Q7" s="46" t="n"/>
      <c r="R7" s="46" t="n"/>
    </row>
    <row r="8" ht="23.85" customHeight="1" s="32">
      <c r="A8" s="44" t="n">
        <v>7</v>
      </c>
      <c r="B8" s="45" t="inlineStr">
        <is>
          <t>R007</t>
        </is>
      </c>
      <c r="C8" s="44" t="inlineStr">
        <is>
          <t>2026-03-10</t>
        </is>
      </c>
      <c r="D8" s="46" t="inlineStr">
        <is>
          <t>Financial</t>
        </is>
      </c>
      <c r="E8" s="46" t="inlineStr">
        <is>
          <t>Budget constraints limiting equipment replacement</t>
        </is>
      </c>
      <c r="F8" s="44" t="n">
        <v>2</v>
      </c>
      <c r="G8" s="44" t="n">
        <v>4</v>
      </c>
      <c r="H8" s="47">
        <f>F8*G8</f>
        <v/>
      </c>
      <c r="I8" s="45">
        <f>IF(H8&gt;=15,"Critical",IF(H8&gt;=9,"High",IF(H8&gt;=4,"Medium","Low")))</f>
        <v/>
      </c>
      <c r="J8" s="46" t="inlineStr">
        <is>
          <t>Develop 5-year capital equipment replacement plan</t>
        </is>
      </c>
      <c r="K8" s="44" t="n">
        <v>2</v>
      </c>
      <c r="L8" s="44" t="n">
        <v>3</v>
      </c>
      <c r="M8" s="47">
        <f>K8*L8</f>
        <v/>
      </c>
      <c r="N8" s="45">
        <f>IF(M8&gt;=15,"Critical",IF(M8&gt;=9,"High",IF(M8&gt;=4,"Medium","Low")))</f>
        <v/>
      </c>
      <c r="O8" s="46" t="n"/>
      <c r="P8" s="46" t="n"/>
      <c r="Q8" s="46" t="n"/>
      <c r="R8" s="46" t="n"/>
    </row>
    <row r="9" ht="23.85" customHeight="1" s="32">
      <c r="A9" s="44" t="n">
        <v>8</v>
      </c>
      <c r="B9" s="45" t="inlineStr">
        <is>
          <t>R008</t>
        </is>
      </c>
      <c r="C9" s="44" t="inlineStr">
        <is>
          <t>2026-03-15</t>
        </is>
      </c>
      <c r="D9" s="46" t="inlineStr">
        <is>
          <t>Personnel</t>
        </is>
      </c>
      <c r="E9" s="46" t="inlineStr">
        <is>
          <t>Key person dependency for specialized testing</t>
        </is>
      </c>
      <c r="F9" s="44" t="n">
        <v>2</v>
      </c>
      <c r="G9" s="44" t="n">
        <v>5</v>
      </c>
      <c r="H9" s="47">
        <f>F9*G9</f>
        <v/>
      </c>
      <c r="I9" s="45">
        <f>IF(H9&gt;=15,"Critical",IF(H9&gt;=9,"High",IF(H9&gt;=4,"Medium","Low")))</f>
        <v/>
      </c>
      <c r="J9" s="46" t="inlineStr">
        <is>
          <t>Cross-train minimum 2 staff per specialized test</t>
        </is>
      </c>
      <c r="K9" s="44" t="n">
        <v>1</v>
      </c>
      <c r="L9" s="44" t="n">
        <v>3</v>
      </c>
      <c r="M9" s="47">
        <f>K9*L9</f>
        <v/>
      </c>
      <c r="N9" s="45">
        <f>IF(M9&gt;=15,"Critical",IF(M9&gt;=9,"High",IF(M9&gt;=4,"Medium","Low")))</f>
        <v/>
      </c>
      <c r="O9" s="46" t="n"/>
      <c r="P9" s="46" t="n"/>
      <c r="Q9" s="46" t="n"/>
      <c r="R9" s="46" t="n"/>
    </row>
    <row r="10" ht="23.85" customHeight="1" s="32">
      <c r="A10" s="44" t="n">
        <v>9</v>
      </c>
      <c r="B10" s="45" t="inlineStr">
        <is>
          <t>R009</t>
        </is>
      </c>
      <c r="C10" s="44" t="inlineStr">
        <is>
          <t>2026-04-01</t>
        </is>
      </c>
      <c r="D10" s="46" t="inlineStr">
        <is>
          <t>Facility</t>
        </is>
      </c>
      <c r="E10" s="46" t="inlineStr">
        <is>
          <t>Temperature excursions in storage areas</t>
        </is>
      </c>
      <c r="F10" s="44" t="n">
        <v>2</v>
      </c>
      <c r="G10" s="44" t="n">
        <v>4</v>
      </c>
      <c r="H10" s="47">
        <f>F10*G10</f>
        <v/>
      </c>
      <c r="I10" s="45">
        <f>IF(H10&gt;=15,"Critical",IF(H10&gt;=9,"High",IF(H10&gt;=4,"Medium","Low")))</f>
        <v/>
      </c>
      <c r="J10" s="46" t="inlineStr">
        <is>
          <t>Install continuous temperature monitoring with alarms</t>
        </is>
      </c>
      <c r="K10" s="44" t="n">
        <v>1</v>
      </c>
      <c r="L10" s="44" t="n">
        <v>2</v>
      </c>
      <c r="M10" s="47">
        <f>K10*L10</f>
        <v/>
      </c>
      <c r="N10" s="45">
        <f>IF(M10&gt;=15,"Critical",IF(M10&gt;=9,"High",IF(M10&gt;=4,"Medium","Low")))</f>
        <v/>
      </c>
      <c r="O10" s="46" t="n"/>
      <c r="P10" s="46" t="n"/>
      <c r="Q10" s="46" t="n"/>
      <c r="R10" s="46" t="n"/>
    </row>
    <row r="11" ht="23.85" customHeight="1" s="32">
      <c r="A11" s="44" t="n">
        <v>10</v>
      </c>
      <c r="B11" s="45" t="inlineStr">
        <is>
          <t>R010</t>
        </is>
      </c>
      <c r="C11" s="44" t="inlineStr">
        <is>
          <t>2026-04-10</t>
        </is>
      </c>
      <c r="D11" s="46" t="inlineStr">
        <is>
          <t>Clinical</t>
        </is>
      </c>
      <c r="E11" s="46" t="inlineStr">
        <is>
          <t>Misidentification of patient samples</t>
        </is>
      </c>
      <c r="F11" s="44" t="n">
        <v>2</v>
      </c>
      <c r="G11" s="44" t="n">
        <v>5</v>
      </c>
      <c r="H11" s="47">
        <f>F11*G11</f>
        <v/>
      </c>
      <c r="I11" s="45">
        <f>IF(H11&gt;=15,"Critical",IF(H11&gt;=9,"High",IF(H11&gt;=4,"Medium","Low")))</f>
        <v/>
      </c>
      <c r="J11" s="46" t="inlineStr">
        <is>
          <t>Implement two-patient identifier verification at all steps</t>
        </is>
      </c>
      <c r="K11" s="44" t="n">
        <v>1</v>
      </c>
      <c r="L11" s="44" t="n">
        <v>2</v>
      </c>
      <c r="M11" s="47">
        <f>K11*L11</f>
        <v/>
      </c>
      <c r="N11" s="45">
        <f>IF(M11&gt;=15,"Critical",IF(M11&gt;=9,"High",IF(M11&gt;=4,"Medium","Low")))</f>
        <v/>
      </c>
      <c r="O11" s="46" t="n"/>
      <c r="P11" s="46" t="n"/>
      <c r="Q11" s="46" t="n"/>
      <c r="R11" s="46" t="n"/>
    </row>
    <row r="12" ht="15" customHeight="1" s="32">
      <c r="A12" s="44" t="n">
        <v>11</v>
      </c>
      <c r="H12" s="47">
        <f>F12*G12</f>
        <v/>
      </c>
      <c r="I12" s="45">
        <f>IF(H12&gt;=15,"Critical",IF(H12&gt;=9,"High",IF(H12&gt;=4,"Medium","Low")))</f>
        <v/>
      </c>
      <c r="M12" s="47">
        <f>K12*L12</f>
        <v/>
      </c>
      <c r="N12" s="45">
        <f>IF(M12&gt;=15,"Critical",IF(M12&gt;=9,"High",IF(M12&gt;=4,"Medium","Low")))</f>
        <v/>
      </c>
    </row>
    <row r="13" ht="15" customHeight="1" s="32">
      <c r="A13" s="44" t="n">
        <v>12</v>
      </c>
      <c r="H13" s="47">
        <f>F13*G13</f>
        <v/>
      </c>
      <c r="I13" s="45">
        <f>IF(H13&gt;=15,"Critical",IF(H13&gt;=9,"High",IF(H13&gt;=4,"Medium","Low")))</f>
        <v/>
      </c>
      <c r="M13" s="47">
        <f>K13*L13</f>
        <v/>
      </c>
      <c r="N13" s="45">
        <f>IF(M13&gt;=15,"Critical",IF(M13&gt;=9,"High",IF(M13&gt;=4,"Medium","Low")))</f>
        <v/>
      </c>
    </row>
    <row r="14" ht="15" customHeight="1" s="32">
      <c r="A14" s="44" t="n">
        <v>13</v>
      </c>
      <c r="H14" s="47">
        <f>F14*G14</f>
        <v/>
      </c>
      <c r="I14" s="45">
        <f>IF(H14&gt;=15,"Critical",IF(H14&gt;=9,"High",IF(H14&gt;=4,"Medium","Low")))</f>
        <v/>
      </c>
      <c r="M14" s="47">
        <f>K14*L14</f>
        <v/>
      </c>
      <c r="N14" s="45">
        <f>IF(M14&gt;=15,"Critical",IF(M14&gt;=9,"High",IF(M14&gt;=4,"Medium","Low")))</f>
        <v/>
      </c>
    </row>
    <row r="15" ht="15" customHeight="1" s="32">
      <c r="A15" s="44" t="n">
        <v>14</v>
      </c>
      <c r="H15" s="47">
        <f>F15*G15</f>
        <v/>
      </c>
      <c r="I15" s="45">
        <f>IF(H15&gt;=15,"Critical",IF(H15&gt;=9,"High",IF(H15&gt;=4,"Medium","Low")))</f>
        <v/>
      </c>
      <c r="M15" s="47">
        <f>K15*L15</f>
        <v/>
      </c>
      <c r="N15" s="45">
        <f>IF(M15&gt;=15,"Critical",IF(M15&gt;=9,"High",IF(M15&gt;=4,"Medium","Low")))</f>
        <v/>
      </c>
    </row>
    <row r="16" ht="15" customHeight="1" s="32">
      <c r="A16" s="44" t="n">
        <v>15</v>
      </c>
      <c r="H16" s="47">
        <f>F16*G16</f>
        <v/>
      </c>
      <c r="I16" s="45">
        <f>IF(H16&gt;=15,"Critical",IF(H16&gt;=9,"High",IF(H16&gt;=4,"Medium","Low")))</f>
        <v/>
      </c>
      <c r="M16" s="47">
        <f>K16*L16</f>
        <v/>
      </c>
      <c r="N16" s="45">
        <f>IF(M16&gt;=15,"Critical",IF(M16&gt;=9,"High",IF(M16&gt;=4,"Medium","Low")))</f>
        <v/>
      </c>
    </row>
    <row r="17" ht="15" customHeight="1" s="32">
      <c r="A17" s="44" t="n">
        <v>16</v>
      </c>
      <c r="H17" s="47">
        <f>F17*G17</f>
        <v/>
      </c>
      <c r="I17" s="45">
        <f>IF(H17&gt;=15,"Critical",IF(H17&gt;=9,"High",IF(H17&gt;=4,"Medium","Low")))</f>
        <v/>
      </c>
      <c r="M17" s="47">
        <f>K17*L17</f>
        <v/>
      </c>
      <c r="N17" s="45">
        <f>IF(M17&gt;=15,"Critical",IF(M17&gt;=9,"High",IF(M17&gt;=4,"Medium","Low")))</f>
        <v/>
      </c>
    </row>
    <row r="18" ht="15" customHeight="1" s="32">
      <c r="A18" s="44" t="n">
        <v>17</v>
      </c>
      <c r="H18" s="47">
        <f>F18*G18</f>
        <v/>
      </c>
      <c r="I18" s="45">
        <f>IF(H18&gt;=15,"Critical",IF(H18&gt;=9,"High",IF(H18&gt;=4,"Medium","Low")))</f>
        <v/>
      </c>
      <c r="M18" s="47">
        <f>K18*L18</f>
        <v/>
      </c>
      <c r="N18" s="45">
        <f>IF(M18&gt;=15,"Critical",IF(M18&gt;=9,"High",IF(M18&gt;=4,"Medium","Low")))</f>
        <v/>
      </c>
    </row>
    <row r="19" ht="15" customHeight="1" s="32">
      <c r="A19" s="44" t="n">
        <v>18</v>
      </c>
      <c r="H19" s="47">
        <f>F19*G19</f>
        <v/>
      </c>
      <c r="I19" s="45">
        <f>IF(H19&gt;=15,"Critical",IF(H19&gt;=9,"High",IF(H19&gt;=4,"Medium","Low")))</f>
        <v/>
      </c>
      <c r="M19" s="47">
        <f>K19*L19</f>
        <v/>
      </c>
      <c r="N19" s="45">
        <f>IF(M19&gt;=15,"Critical",IF(M19&gt;=9,"High",IF(M19&gt;=4,"Medium","Low")))</f>
        <v/>
      </c>
    </row>
    <row r="20" ht="15" customHeight="1" s="32">
      <c r="A20" s="44" t="n">
        <v>19</v>
      </c>
      <c r="H20" s="47">
        <f>F20*G20</f>
        <v/>
      </c>
      <c r="I20" s="45">
        <f>IF(H20&gt;=15,"Critical",IF(H20&gt;=9,"High",IF(H20&gt;=4,"Medium","Low")))</f>
        <v/>
      </c>
      <c r="M20" s="47">
        <f>K20*L20</f>
        <v/>
      </c>
      <c r="N20" s="45">
        <f>IF(M20&gt;=15,"Critical",IF(M20&gt;=9,"High",IF(M20&gt;=4,"Medium","Low")))</f>
        <v/>
      </c>
    </row>
    <row r="21" ht="15" customHeight="1" s="32">
      <c r="A21" s="44" t="n">
        <v>20</v>
      </c>
      <c r="H21" s="47">
        <f>F21*G21</f>
        <v/>
      </c>
      <c r="I21" s="45">
        <f>IF(H21&gt;=15,"Critical",IF(H21&gt;=9,"High",IF(H21&gt;=4,"Medium","Low")))</f>
        <v/>
      </c>
      <c r="M21" s="47">
        <f>K21*L21</f>
        <v/>
      </c>
      <c r="N21" s="45">
        <f>IF(M21&gt;=15,"Critical",IF(M21&gt;=9,"High",IF(M21&gt;=4,"Medium","Low")))</f>
        <v/>
      </c>
    </row>
    <row r="22" ht="15" customHeight="1" s="32">
      <c r="A22" s="44" t="n">
        <v>21</v>
      </c>
      <c r="H22" s="47">
        <f>F22*G22</f>
        <v/>
      </c>
      <c r="I22" s="45">
        <f>IF(H22&gt;=15,"Critical",IF(H22&gt;=9,"High",IF(H22&gt;=4,"Medium","Low")))</f>
        <v/>
      </c>
      <c r="M22" s="47">
        <f>K22*L22</f>
        <v/>
      </c>
      <c r="N22" s="45">
        <f>IF(M22&gt;=15,"Critical",IF(M22&gt;=9,"High",IF(M22&gt;=4,"Medium","Low")))</f>
        <v/>
      </c>
    </row>
    <row r="23" ht="15" customHeight="1" s="32">
      <c r="A23" s="44" t="n">
        <v>22</v>
      </c>
      <c r="H23" s="47">
        <f>F23*G23</f>
        <v/>
      </c>
      <c r="I23" s="45">
        <f>IF(H23&gt;=15,"Critical",IF(H23&gt;=9,"High",IF(H23&gt;=4,"Medium","Low")))</f>
        <v/>
      </c>
      <c r="M23" s="47">
        <f>K23*L23</f>
        <v/>
      </c>
      <c r="N23" s="45">
        <f>IF(M23&gt;=15,"Critical",IF(M23&gt;=9,"High",IF(M23&gt;=4,"Medium","Low")))</f>
        <v/>
      </c>
    </row>
    <row r="24" ht="15" customHeight="1" s="32">
      <c r="A24" s="44" t="n">
        <v>23</v>
      </c>
      <c r="H24" s="47">
        <f>F24*G24</f>
        <v/>
      </c>
      <c r="I24" s="45">
        <f>IF(H24&gt;=15,"Critical",IF(H24&gt;=9,"High",IF(H24&gt;=4,"Medium","Low")))</f>
        <v/>
      </c>
      <c r="M24" s="47">
        <f>K24*L24</f>
        <v/>
      </c>
      <c r="N24" s="45">
        <f>IF(M24&gt;=15,"Critical",IF(M24&gt;=9,"High",IF(M24&gt;=4,"Medium","Low")))</f>
        <v/>
      </c>
    </row>
    <row r="25" ht="15" customHeight="1" s="32">
      <c r="A25" s="44" t="n">
        <v>24</v>
      </c>
      <c r="H25" s="47">
        <f>F25*G25</f>
        <v/>
      </c>
      <c r="I25" s="45">
        <f>IF(H25&gt;=15,"Critical",IF(H25&gt;=9,"High",IF(H25&gt;=4,"Medium","Low")))</f>
        <v/>
      </c>
      <c r="M25" s="47">
        <f>K25*L25</f>
        <v/>
      </c>
      <c r="N25" s="45">
        <f>IF(M25&gt;=15,"Critical",IF(M25&gt;=9,"High",IF(M25&gt;=4,"Medium","Low")))</f>
        <v/>
      </c>
    </row>
    <row r="26" ht="15" customHeight="1" s="32">
      <c r="A26" s="44" t="n">
        <v>25</v>
      </c>
      <c r="H26" s="47">
        <f>F26*G26</f>
        <v/>
      </c>
      <c r="I26" s="45">
        <f>IF(H26&gt;=15,"Critical",IF(H26&gt;=9,"High",IF(H26&gt;=4,"Medium","Low")))</f>
        <v/>
      </c>
      <c r="M26" s="47">
        <f>K26*L26</f>
        <v/>
      </c>
      <c r="N26" s="45">
        <f>IF(M26&gt;=15,"Critical",IF(M26&gt;=9,"High",IF(M26&gt;=4,"Medium","Low")))</f>
        <v/>
      </c>
    </row>
    <row r="27" ht="15" customHeight="1" s="32">
      <c r="A27" s="44" t="n">
        <v>26</v>
      </c>
      <c r="H27" s="47">
        <f>F27*G27</f>
        <v/>
      </c>
      <c r="I27" s="45">
        <f>IF(H27&gt;=15,"Critical",IF(H27&gt;=9,"High",IF(H27&gt;=4,"Medium","Low")))</f>
        <v/>
      </c>
      <c r="M27" s="47">
        <f>K27*L27</f>
        <v/>
      </c>
      <c r="N27" s="45">
        <f>IF(M27&gt;=15,"Critical",IF(M27&gt;=9,"High",IF(M27&gt;=4,"Medium","Low")))</f>
        <v/>
      </c>
    </row>
    <row r="28" ht="15" customHeight="1" s="32">
      <c r="A28" s="44" t="n">
        <v>27</v>
      </c>
      <c r="H28" s="47">
        <f>F28*G28</f>
        <v/>
      </c>
      <c r="I28" s="45">
        <f>IF(H28&gt;=15,"Critical",IF(H28&gt;=9,"High",IF(H28&gt;=4,"Medium","Low")))</f>
        <v/>
      </c>
      <c r="M28" s="47">
        <f>K28*L28</f>
        <v/>
      </c>
      <c r="N28" s="45">
        <f>IF(M28&gt;=15,"Critical",IF(M28&gt;=9,"High",IF(M28&gt;=4,"Medium","Low")))</f>
        <v/>
      </c>
    </row>
    <row r="29" ht="15" customHeight="1" s="32">
      <c r="A29" s="44" t="n">
        <v>28</v>
      </c>
      <c r="H29" s="47">
        <f>F29*G29</f>
        <v/>
      </c>
      <c r="I29" s="45">
        <f>IF(H29&gt;=15,"Critical",IF(H29&gt;=9,"High",IF(H29&gt;=4,"Medium","Low")))</f>
        <v/>
      </c>
      <c r="M29" s="47">
        <f>K29*L29</f>
        <v/>
      </c>
      <c r="N29" s="45">
        <f>IF(M29&gt;=15,"Critical",IF(M29&gt;=9,"High",IF(M29&gt;=4,"Medium","Low")))</f>
        <v/>
      </c>
    </row>
    <row r="30" ht="15" customHeight="1" s="32">
      <c r="A30" s="44" t="n">
        <v>29</v>
      </c>
      <c r="H30" s="47">
        <f>F30*G30</f>
        <v/>
      </c>
      <c r="I30" s="45">
        <f>IF(H30&gt;=15,"Critical",IF(H30&gt;=9,"High",IF(H30&gt;=4,"Medium","Low")))</f>
        <v/>
      </c>
      <c r="M30" s="47">
        <f>K30*L30</f>
        <v/>
      </c>
      <c r="N30" s="45">
        <f>IF(M30&gt;=15,"Critical",IF(M30&gt;=9,"High",IF(M30&gt;=4,"Medium","Low")))</f>
        <v/>
      </c>
    </row>
    <row r="31" ht="15" customHeight="1" s="32">
      <c r="A31" s="44" t="n">
        <v>30</v>
      </c>
      <c r="H31" s="47">
        <f>F31*G31</f>
        <v/>
      </c>
      <c r="I31" s="45">
        <f>IF(H31&gt;=15,"Critical",IF(H31&gt;=9,"High",IF(H31&gt;=4,"Medium","Low")))</f>
        <v/>
      </c>
      <c r="M31" s="47">
        <f>K31*L31</f>
        <v/>
      </c>
      <c r="N31" s="45">
        <f>IF(M31&gt;=15,"Critical",IF(M31&gt;=9,"High",IF(M31&gt;=4,"Medium","Low")))</f>
        <v/>
      </c>
    </row>
    <row r="32" ht="15" customHeight="1" s="32">
      <c r="A32" s="44" t="n">
        <v>31</v>
      </c>
      <c r="H32" s="47">
        <f>F32*G32</f>
        <v/>
      </c>
      <c r="I32" s="45">
        <f>IF(H32&gt;=15,"Critical",IF(H32&gt;=9,"High",IF(H32&gt;=4,"Medium","Low")))</f>
        <v/>
      </c>
      <c r="M32" s="47">
        <f>K32*L32</f>
        <v/>
      </c>
      <c r="N32" s="45">
        <f>IF(M32&gt;=15,"Critical",IF(M32&gt;=9,"High",IF(M32&gt;=4,"Medium","Low")))</f>
        <v/>
      </c>
    </row>
    <row r="33" ht="15" customHeight="1" s="32">
      <c r="A33" s="44" t="n">
        <v>32</v>
      </c>
      <c r="H33" s="47">
        <f>F33*G33</f>
        <v/>
      </c>
      <c r="I33" s="45">
        <f>IF(H33&gt;=15,"Critical",IF(H33&gt;=9,"High",IF(H33&gt;=4,"Medium","Low")))</f>
        <v/>
      </c>
      <c r="M33" s="47">
        <f>K33*L33</f>
        <v/>
      </c>
      <c r="N33" s="45">
        <f>IF(M33&gt;=15,"Critical",IF(M33&gt;=9,"High",IF(M33&gt;=4,"Medium","Low")))</f>
        <v/>
      </c>
    </row>
    <row r="34" ht="15" customHeight="1" s="32">
      <c r="A34" s="44" t="n">
        <v>33</v>
      </c>
      <c r="H34" s="47">
        <f>F34*G34</f>
        <v/>
      </c>
      <c r="I34" s="45">
        <f>IF(H34&gt;=15,"Critical",IF(H34&gt;=9,"High",IF(H34&gt;=4,"Medium","Low")))</f>
        <v/>
      </c>
      <c r="M34" s="47">
        <f>K34*L34</f>
        <v/>
      </c>
      <c r="N34" s="45">
        <f>IF(M34&gt;=15,"Critical",IF(M34&gt;=9,"High",IF(M34&gt;=4,"Medium","Low")))</f>
        <v/>
      </c>
    </row>
    <row r="35" ht="15" customHeight="1" s="32">
      <c r="A35" s="44" t="n">
        <v>34</v>
      </c>
      <c r="H35" s="47">
        <f>F35*G35</f>
        <v/>
      </c>
      <c r="I35" s="45">
        <f>IF(H35&gt;=15,"Critical",IF(H35&gt;=9,"High",IF(H35&gt;=4,"Medium","Low")))</f>
        <v/>
      </c>
      <c r="M35" s="47">
        <f>K35*L35</f>
        <v/>
      </c>
      <c r="N35" s="45">
        <f>IF(M35&gt;=15,"Critical",IF(M35&gt;=9,"High",IF(M35&gt;=4,"Medium","Low")))</f>
        <v/>
      </c>
    </row>
    <row r="36" ht="15" customHeight="1" s="32">
      <c r="A36" s="44" t="n">
        <v>35</v>
      </c>
      <c r="H36" s="47">
        <f>F36*G36</f>
        <v/>
      </c>
      <c r="I36" s="45">
        <f>IF(H36&gt;=15,"Critical",IF(H36&gt;=9,"High",IF(H36&gt;=4,"Medium","Low")))</f>
        <v/>
      </c>
      <c r="M36" s="47">
        <f>K36*L36</f>
        <v/>
      </c>
      <c r="N36" s="45">
        <f>IF(M36&gt;=15,"Critical",IF(M36&gt;=9,"High",IF(M36&gt;=4,"Medium","Low")))</f>
        <v/>
      </c>
    </row>
    <row r="37" ht="15" customHeight="1" s="32">
      <c r="A37" s="44" t="n">
        <v>36</v>
      </c>
      <c r="H37" s="47">
        <f>F37*G37</f>
        <v/>
      </c>
      <c r="I37" s="45">
        <f>IF(H37&gt;=15,"Critical",IF(H37&gt;=9,"High",IF(H37&gt;=4,"Medium","Low")))</f>
        <v/>
      </c>
      <c r="M37" s="47">
        <f>K37*L37</f>
        <v/>
      </c>
      <c r="N37" s="45">
        <f>IF(M37&gt;=15,"Critical",IF(M37&gt;=9,"High",IF(M37&gt;=4,"Medium","Low")))</f>
        <v/>
      </c>
    </row>
    <row r="38" ht="15" customHeight="1" s="32">
      <c r="A38" s="44" t="n">
        <v>37</v>
      </c>
      <c r="H38" s="47">
        <f>F38*G38</f>
        <v/>
      </c>
      <c r="I38" s="45">
        <f>IF(H38&gt;=15,"Critical",IF(H38&gt;=9,"High",IF(H38&gt;=4,"Medium","Low")))</f>
        <v/>
      </c>
      <c r="M38" s="47">
        <f>K38*L38</f>
        <v/>
      </c>
      <c r="N38" s="45">
        <f>IF(M38&gt;=15,"Critical",IF(M38&gt;=9,"High",IF(M38&gt;=4,"Medium","Low")))</f>
        <v/>
      </c>
    </row>
    <row r="39" ht="15" customHeight="1" s="32">
      <c r="A39" s="44" t="n">
        <v>38</v>
      </c>
      <c r="H39" s="47">
        <f>F39*G39</f>
        <v/>
      </c>
      <c r="I39" s="45">
        <f>IF(H39&gt;=15,"Critical",IF(H39&gt;=9,"High",IF(H39&gt;=4,"Medium","Low")))</f>
        <v/>
      </c>
      <c r="M39" s="47">
        <f>K39*L39</f>
        <v/>
      </c>
      <c r="N39" s="45">
        <f>IF(M39&gt;=15,"Critical",IF(M39&gt;=9,"High",IF(M39&gt;=4,"Medium","Low")))</f>
        <v/>
      </c>
    </row>
    <row r="40" ht="15" customHeight="1" s="32">
      <c r="A40" s="44" t="n">
        <v>39</v>
      </c>
      <c r="H40" s="47">
        <f>F40*G40</f>
        <v/>
      </c>
      <c r="I40" s="45">
        <f>IF(H40&gt;=15,"Critical",IF(H40&gt;=9,"High",IF(H40&gt;=4,"Medium","Low")))</f>
        <v/>
      </c>
      <c r="M40" s="47">
        <f>K40*L40</f>
        <v/>
      </c>
      <c r="N40" s="45">
        <f>IF(M40&gt;=15,"Critical",IF(M40&gt;=9,"High",IF(M40&gt;=4,"Medium","Low")))</f>
        <v/>
      </c>
    </row>
    <row r="41" ht="15" customHeight="1" s="32">
      <c r="A41" s="44" t="n">
        <v>40</v>
      </c>
      <c r="H41" s="47">
        <f>F41*G41</f>
        <v/>
      </c>
      <c r="I41" s="45">
        <f>IF(H41&gt;=15,"Critical",IF(H41&gt;=9,"High",IF(H41&gt;=4,"Medium","Low")))</f>
        <v/>
      </c>
      <c r="M41" s="47">
        <f>K41*L41</f>
        <v/>
      </c>
      <c r="N41" s="45">
        <f>IF(M41&gt;=15,"Critical",IF(M41&gt;=9,"High",IF(M41&gt;=4,"Medium","Low")))</f>
        <v/>
      </c>
    </row>
  </sheetData>
  <autoFilter ref="A1:R41"/>
  <conditionalFormatting sqref="H2:H41">
    <cfRule type="cellIs" rank="0" priority="2" equalAverage="0" operator="greaterThanOrEqual" aboveAverage="0" dxfId="9" text="" percent="0" bottom="0">
      <formula>15</formula>
    </cfRule>
    <cfRule type="cellIs" rank="0" priority="3" equalAverage="0" operator="between" aboveAverage="0" dxfId="10" text="" percent="0" bottom="0">
      <formula>9</formula>
      <formula>14</formula>
    </cfRule>
    <cfRule type="cellIs" rank="0" priority="4" equalAverage="0" operator="between" aboveAverage="0" dxfId="11" text="" percent="0" bottom="0">
      <formula>4</formula>
      <formula>8</formula>
    </cfRule>
    <cfRule type="cellIs" rank="0" priority="5" equalAverage="0" operator="lessThan" aboveAverage="0" dxfId="12" text="" percent="0" bottom="0">
      <formula>4</formula>
    </cfRule>
  </conditionalFormatting>
  <conditionalFormatting sqref="M2:M41">
    <cfRule type="cellIs" rank="0" priority="6" equalAverage="0" operator="greaterThanOrEqual" aboveAverage="0" dxfId="9" text="" percent="0" bottom="0">
      <formula>15</formula>
    </cfRule>
    <cfRule type="cellIs" rank="0" priority="7" equalAverage="0" operator="between" aboveAverage="0" dxfId="10" text="" percent="0" bottom="0">
      <formula>9</formula>
      <formula>14</formula>
    </cfRule>
    <cfRule type="cellIs" rank="0" priority="8" equalAverage="0" operator="between" aboveAverage="0" dxfId="11" text="" percent="0" bottom="0">
      <formula>4</formula>
      <formula>8</formula>
    </cfRule>
    <cfRule type="cellIs" rank="0" priority="9" equalAverage="0" operator="lessThan" aboveAverage="0" dxfId="12" text="" percent="0" bottom="0">
      <formula>4</formula>
    </cfRule>
  </conditionalFormatting>
  <dataValidations count="3">
    <dataValidation sqref="D2:D41" showDropDown="0" showInputMessage="0" showErrorMessage="0" allowBlank="1" type="list" errorStyle="stop" operator="between">
      <formula1>"Clinical,Operational,Financial,Compliance,Safety,Equipment,IT/Data,Personnel,Facility"</formula1>
      <formula2>0</formula2>
    </dataValidation>
    <dataValidation sqref="Q2:Q41" showDropDown="0" showInputMessage="0" showErrorMessage="0" allowBlank="1" type="list" errorStyle="stop" operator="between">
      <formula1>"Open,Mitigated,Closed,Monitoring,Escalated"</formula1>
      <formula2>0</formula2>
    </dataValidation>
    <dataValidation sqref="O2:O41" showDropDown="0" showInputMessage="0" showErrorMessage="0" allowBlank="1" type="list" errorStyle="stop" operator="between">
      <formula1>"Lab Manager,Quality Manager,Medical Director,Safety Officer,IT Manager,HR Manager"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B2:G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 customWidth="1" style="31" min="1" max="1"/>
    <col width="22" customWidth="1" style="31" min="2" max="2"/>
    <col width="16" customWidth="1" style="31" min="3" max="7"/>
  </cols>
  <sheetData>
    <row r="2" ht="27.75" customHeight="1" s="32">
      <c r="B2" s="48" t="inlineStr">
        <is>
          <t>Risk Assessment Matrix (5x5)</t>
        </is>
      </c>
    </row>
    <row r="4" ht="30" customHeight="1" s="32">
      <c r="B4" s="49" t="inlineStr">
        <is>
          <t>Likelihood / Severity</t>
        </is>
      </c>
    </row>
    <row r="5" ht="36" customHeight="1" s="32">
      <c r="C5" s="43" t="inlineStr">
        <is>
          <t>1 - Rare</t>
        </is>
      </c>
      <c r="D5" s="43" t="inlineStr">
        <is>
          <t>2 - Unlikely</t>
        </is>
      </c>
      <c r="E5" s="43" t="inlineStr">
        <is>
          <t>3 - Possible</t>
        </is>
      </c>
      <c r="F5" s="43" t="inlineStr">
        <is>
          <t>4 - Likely</t>
        </is>
      </c>
      <c r="G5" s="43" t="inlineStr">
        <is>
          <t>5 - Almost Certain</t>
        </is>
      </c>
    </row>
    <row r="6" ht="30" customHeight="1" s="32">
      <c r="B6" s="43" t="inlineStr">
        <is>
          <t>5 - Almost Certain</t>
        </is>
      </c>
      <c r="C6" s="50" t="n">
        <v>5</v>
      </c>
      <c r="D6" s="51" t="n">
        <v>10</v>
      </c>
      <c r="E6" s="52" t="n">
        <v>15</v>
      </c>
      <c r="F6" s="52" t="n">
        <v>20</v>
      </c>
      <c r="G6" s="52" t="n">
        <v>25</v>
      </c>
    </row>
    <row r="7" ht="30" customHeight="1" s="32">
      <c r="B7" s="43" t="inlineStr">
        <is>
          <t>4 - Likely</t>
        </is>
      </c>
      <c r="C7" s="50" t="n">
        <v>4</v>
      </c>
      <c r="D7" s="50" t="n">
        <v>8</v>
      </c>
      <c r="E7" s="51" t="n">
        <v>12</v>
      </c>
      <c r="F7" s="52" t="n">
        <v>16</v>
      </c>
      <c r="G7" s="52" t="n">
        <v>20</v>
      </c>
    </row>
    <row r="8" ht="30" customHeight="1" s="32">
      <c r="B8" s="43" t="inlineStr">
        <is>
          <t>3 - Possible</t>
        </is>
      </c>
      <c r="C8" s="53" t="n">
        <v>3</v>
      </c>
      <c r="D8" s="50" t="n">
        <v>6</v>
      </c>
      <c r="E8" s="51" t="n">
        <v>9</v>
      </c>
      <c r="F8" s="51" t="n">
        <v>12</v>
      </c>
      <c r="G8" s="52" t="n">
        <v>15</v>
      </c>
    </row>
    <row r="9" ht="30" customHeight="1" s="32">
      <c r="B9" s="43" t="inlineStr">
        <is>
          <t>2 - Unlikely</t>
        </is>
      </c>
      <c r="C9" s="53" t="n">
        <v>2</v>
      </c>
      <c r="D9" s="50" t="n">
        <v>4</v>
      </c>
      <c r="E9" s="50" t="n">
        <v>6</v>
      </c>
      <c r="F9" s="50" t="n">
        <v>8</v>
      </c>
      <c r="G9" s="51" t="n">
        <v>10</v>
      </c>
    </row>
    <row r="10" ht="30" customHeight="1" s="32">
      <c r="B10" s="43" t="inlineStr">
        <is>
          <t>1 - Rare</t>
        </is>
      </c>
      <c r="C10" s="53" t="n">
        <v>1</v>
      </c>
      <c r="D10" s="53" t="n">
        <v>2</v>
      </c>
      <c r="E10" s="53" t="n">
        <v>3</v>
      </c>
      <c r="F10" s="50" t="n">
        <v>4</v>
      </c>
      <c r="G10" s="50" t="n">
        <v>5</v>
      </c>
    </row>
    <row r="12" ht="15" customHeight="1" s="32">
      <c r="B12" s="54" t="inlineStr">
        <is>
          <t>Legend:</t>
        </is>
      </c>
      <c r="C12" s="55" t="inlineStr">
        <is>
          <t>Critical (15-25)</t>
        </is>
      </c>
      <c r="D12" s="56" t="inlineStr">
        <is>
          <t>High (9-14)</t>
        </is>
      </c>
      <c r="E12" s="57" t="inlineStr">
        <is>
          <t>Medium (4-8)</t>
        </is>
      </c>
      <c r="F12" s="58" t="inlineStr">
        <is>
          <t>Low (1-3)</t>
        </is>
      </c>
    </row>
  </sheetData>
  <mergeCells count="2">
    <mergeCell ref="B2:G2"/>
    <mergeCell ref="B4:C4"/>
  </mergeCells>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B2:L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 customWidth="1" style="31" min="1" max="1"/>
    <col width="14" customWidth="1" style="31" min="2" max="12"/>
  </cols>
  <sheetData>
    <row r="2" ht="31.5" customHeight="1" s="32">
      <c r="B2" s="59" t="inlineStr">
        <is>
          <t>Risk Management Dashboard</t>
        </is>
      </c>
    </row>
    <row r="4" ht="21.75" customHeight="1" s="32">
      <c r="B4" s="60" t="inlineStr">
        <is>
          <t>Total Risks</t>
        </is>
      </c>
      <c r="D4" s="60" t="inlineStr">
        <is>
          <t>Critical Risks</t>
        </is>
      </c>
      <c r="F4" s="60" t="inlineStr">
        <is>
          <t>High Risks</t>
        </is>
      </c>
      <c r="H4" s="60" t="inlineStr">
        <is>
          <t>Open Risks</t>
        </is>
      </c>
      <c r="J4" s="60" t="inlineStr">
        <is>
          <t>Risk Reduction %</t>
        </is>
      </c>
    </row>
    <row r="5" ht="19.5" customHeight="1" s="32">
      <c r="B5" s="61">
        <f>COUNTA('Risk Register'!B2:B41)</f>
        <v/>
      </c>
      <c r="D5" s="61">
        <f>COUNTIF('Risk Register'!I2:I41,"Critical")</f>
        <v/>
      </c>
      <c r="F5" s="61">
        <f>COUNTIF('Risk Register'!I2:I41,"High")</f>
        <v/>
      </c>
      <c r="H5" s="61">
        <f>COUNTIF('Risk Register'!Q2:Q41,"Open")+COUNTIF('Risk Register'!Q2:Q41,"Escalated")</f>
        <v/>
      </c>
      <c r="J5" s="61">
        <f>IFERROR((SUM('Risk Register'!H2:H41)-SUM('Risk Register'!M2:M41))/SUM('Risk Register'!H2:H41)*100,0)</f>
        <v/>
      </c>
    </row>
    <row r="6" ht="19.5" customHeight="1" s="32"/>
    <row r="9" ht="24" customHeight="1" s="32">
      <c r="B9" s="62" t="inlineStr">
        <is>
          <t>Risk Count by Category</t>
        </is>
      </c>
    </row>
    <row r="10" ht="15" customHeight="1" s="32">
      <c r="B10" s="43" t="inlineStr">
        <is>
          <t>Category</t>
        </is>
      </c>
      <c r="C10" s="43" t="inlineStr">
        <is>
          <t>Count</t>
        </is>
      </c>
      <c r="D10" s="43" t="inlineStr">
        <is>
          <t>Critical</t>
        </is>
      </c>
      <c r="E10" s="43" t="inlineStr">
        <is>
          <t>High</t>
        </is>
      </c>
    </row>
    <row r="11" ht="15" customHeight="1" s="32">
      <c r="B11" s="46" t="inlineStr">
        <is>
          <t>Clinical</t>
        </is>
      </c>
      <c r="C11" s="45">
        <f>COUNTIF('Risk Register'!D2:D41,"Clinical")</f>
        <v/>
      </c>
      <c r="D11" s="44">
        <f>COUNTIFS('Risk Register'!D2:D41,"Clinical",'Risk Register'!I2:I41,"Critical")</f>
        <v/>
      </c>
      <c r="E11" s="44">
        <f>COUNTIFS('Risk Register'!D2:D41,"Clinical",'Risk Register'!I2:I41,"High")</f>
        <v/>
      </c>
    </row>
    <row r="12" ht="15" customHeight="1" s="32">
      <c r="B12" s="46" t="inlineStr">
        <is>
          <t>Operational</t>
        </is>
      </c>
      <c r="C12" s="45">
        <f>COUNTIF('Risk Register'!D2:D41,"Operational")</f>
        <v/>
      </c>
      <c r="D12" s="44">
        <f>COUNTIFS('Risk Register'!D2:D41,"Operational",'Risk Register'!I2:I41,"Critical")</f>
        <v/>
      </c>
      <c r="E12" s="44">
        <f>COUNTIFS('Risk Register'!D2:D41,"Operational",'Risk Register'!I2:I41,"High")</f>
        <v/>
      </c>
    </row>
    <row r="13" ht="15" customHeight="1" s="32">
      <c r="B13" s="46" t="inlineStr">
        <is>
          <t>Financial</t>
        </is>
      </c>
      <c r="C13" s="45">
        <f>COUNTIF('Risk Register'!D2:D41,"Financial")</f>
        <v/>
      </c>
      <c r="D13" s="44">
        <f>COUNTIFS('Risk Register'!D2:D41,"Financial",'Risk Register'!I2:I41,"Critical")</f>
        <v/>
      </c>
      <c r="E13" s="44">
        <f>COUNTIFS('Risk Register'!D2:D41,"Financial",'Risk Register'!I2:I41,"High")</f>
        <v/>
      </c>
    </row>
    <row r="14" ht="15" customHeight="1" s="32">
      <c r="B14" s="46" t="inlineStr">
        <is>
          <t>Compliance</t>
        </is>
      </c>
      <c r="C14" s="45">
        <f>COUNTIF('Risk Register'!D2:D41,"Compliance")</f>
        <v/>
      </c>
      <c r="D14" s="44">
        <f>COUNTIFS('Risk Register'!D2:D41,"Compliance",'Risk Register'!I2:I41,"Critical")</f>
        <v/>
      </c>
      <c r="E14" s="44">
        <f>COUNTIFS('Risk Register'!D2:D41,"Compliance",'Risk Register'!I2:I41,"High")</f>
        <v/>
      </c>
    </row>
    <row r="15" ht="15" customHeight="1" s="32">
      <c r="B15" s="46" t="inlineStr">
        <is>
          <t>Safety</t>
        </is>
      </c>
      <c r="C15" s="45">
        <f>COUNTIF('Risk Register'!D2:D41,"Safety")</f>
        <v/>
      </c>
      <c r="D15" s="44">
        <f>COUNTIFS('Risk Register'!D2:D41,"Safety",'Risk Register'!I2:I41,"Critical")</f>
        <v/>
      </c>
      <c r="E15" s="44">
        <f>COUNTIFS('Risk Register'!D2:D41,"Safety",'Risk Register'!I2:I41,"High")</f>
        <v/>
      </c>
    </row>
    <row r="16" ht="15" customHeight="1" s="32">
      <c r="B16" s="46" t="inlineStr">
        <is>
          <t>Equipment</t>
        </is>
      </c>
      <c r="C16" s="45">
        <f>COUNTIF('Risk Register'!D2:D41,"Equipment")</f>
        <v/>
      </c>
      <c r="D16" s="44">
        <f>COUNTIFS('Risk Register'!D2:D41,"Equipment",'Risk Register'!I2:I41,"Critical")</f>
        <v/>
      </c>
      <c r="E16" s="44">
        <f>COUNTIFS('Risk Register'!D2:D41,"Equipment",'Risk Register'!I2:I41,"High")</f>
        <v/>
      </c>
    </row>
    <row r="17" ht="15" customHeight="1" s="32">
      <c r="B17" s="46" t="inlineStr">
        <is>
          <t>IT/Data</t>
        </is>
      </c>
      <c r="C17" s="45">
        <f>COUNTIF('Risk Register'!D2:D41,"IT/Data")</f>
        <v/>
      </c>
      <c r="D17" s="44">
        <f>COUNTIFS('Risk Register'!D2:D41,"IT/Data",'Risk Register'!I2:I41,"Critical")</f>
        <v/>
      </c>
      <c r="E17" s="44">
        <f>COUNTIFS('Risk Register'!D2:D41,"IT/Data",'Risk Register'!I2:I41,"High")</f>
        <v/>
      </c>
    </row>
    <row r="18" ht="15" customHeight="1" s="32">
      <c r="B18" s="46" t="inlineStr">
        <is>
          <t>Personnel</t>
        </is>
      </c>
      <c r="C18" s="45">
        <f>COUNTIF('Risk Register'!D2:D41,"Personnel")</f>
        <v/>
      </c>
      <c r="D18" s="44">
        <f>COUNTIFS('Risk Register'!D2:D41,"Personnel",'Risk Register'!I2:I41,"Critical")</f>
        <v/>
      </c>
      <c r="E18" s="44">
        <f>COUNTIFS('Risk Register'!D2:D41,"Personnel",'Risk Register'!I2:I41,"High")</f>
        <v/>
      </c>
    </row>
    <row r="19" ht="15" customHeight="1" s="32">
      <c r="B19" s="46" t="inlineStr">
        <is>
          <t>Facility</t>
        </is>
      </c>
      <c r="C19" s="45">
        <f>COUNTIF('Risk Register'!D2:D41,"Facility")</f>
        <v/>
      </c>
      <c r="D19" s="44">
        <f>COUNTIFS('Risk Register'!D2:D41,"Facility",'Risk Register'!I2:I41,"Critical")</f>
        <v/>
      </c>
      <c r="E19" s="44">
        <f>COUNTIFS('Risk Register'!D2:D41,"Facility",'Risk Register'!I2:I41,"High")</f>
        <v/>
      </c>
    </row>
    <row r="22" ht="24" customHeight="1" s="32">
      <c r="B22" s="62" t="inlineStr">
        <is>
          <t>Inherent vs Residual Risk Score</t>
        </is>
      </c>
    </row>
    <row r="23" ht="15" customHeight="1" s="32">
      <c r="B23" s="45" t="inlineStr">
        <is>
          <t>R001</t>
        </is>
      </c>
      <c r="C23" s="44">
        <f>INDEX('Risk Register'!H2:H41,MATCH("R001",'Risk Register'!B2:B41,0))</f>
        <v/>
      </c>
      <c r="D23" s="44">
        <f>INDEX('Risk Register'!M2:M41,MATCH("R001",'Risk Register'!B2:B41,0))</f>
        <v/>
      </c>
    </row>
    <row r="24" ht="15" customHeight="1" s="32">
      <c r="B24" s="45" t="inlineStr">
        <is>
          <t>R002</t>
        </is>
      </c>
      <c r="C24" s="44">
        <f>INDEX('Risk Register'!H2:H41,MATCH("R002",'Risk Register'!B2:B41,0))</f>
        <v/>
      </c>
      <c r="D24" s="44">
        <f>INDEX('Risk Register'!M2:M41,MATCH("R002",'Risk Register'!B2:B41,0))</f>
        <v/>
      </c>
    </row>
    <row r="25" ht="15" customHeight="1" s="32">
      <c r="B25" s="45" t="inlineStr">
        <is>
          <t>R003</t>
        </is>
      </c>
      <c r="C25" s="44">
        <f>INDEX('Risk Register'!H2:H41,MATCH("R003",'Risk Register'!B2:B41,0))</f>
        <v/>
      </c>
      <c r="D25" s="44">
        <f>INDEX('Risk Register'!M2:M41,MATCH("R003",'Risk Register'!B2:B41,0))</f>
        <v/>
      </c>
    </row>
    <row r="26" ht="15" customHeight="1" s="32">
      <c r="B26" s="45" t="inlineStr">
        <is>
          <t>R004</t>
        </is>
      </c>
      <c r="C26" s="44">
        <f>INDEX('Risk Register'!H2:H41,MATCH("R004",'Risk Register'!B2:B41,0))</f>
        <v/>
      </c>
      <c r="D26" s="44">
        <f>INDEX('Risk Register'!M2:M41,MATCH("R004",'Risk Register'!B2:B41,0))</f>
        <v/>
      </c>
    </row>
    <row r="27" ht="15" customHeight="1" s="32">
      <c r="B27" s="45" t="inlineStr">
        <is>
          <t>R005</t>
        </is>
      </c>
      <c r="C27" s="44">
        <f>INDEX('Risk Register'!H2:H41,MATCH("R005",'Risk Register'!B2:B41,0))</f>
        <v/>
      </c>
      <c r="D27" s="44">
        <f>INDEX('Risk Register'!M2:M41,MATCH("R005",'Risk Register'!B2:B41,0))</f>
        <v/>
      </c>
    </row>
  </sheetData>
  <mergeCells count="13">
    <mergeCell ref="F4:G4"/>
    <mergeCell ref="J4:K4"/>
    <mergeCell ref="B22:G22"/>
    <mergeCell ref="B9:G9"/>
    <mergeCell ref="B5:C6"/>
    <mergeCell ref="B2:L2"/>
    <mergeCell ref="D5:E6"/>
    <mergeCell ref="F5:G6"/>
    <mergeCell ref="D4:E4"/>
    <mergeCell ref="H4:I4"/>
    <mergeCell ref="H5:I6"/>
    <mergeCell ref="J5:K6"/>
    <mergeCell ref="B4:C4"/>
  </mergeCells>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2026-10-07T15:54:23Z</dcterms:created>
  <dcterms:modified xmlns:dcterms="http://purl.org/dc/terms/" xmlns:xsi="http://www.w3.org/2001/XMLSchema-instance" xsi:type="dcterms:W3CDTF">2026-10-07T16:05:32Z</dcterms:modified>
  <cp:revision>1</cp:revision>
</cp:coreProperties>
</file>