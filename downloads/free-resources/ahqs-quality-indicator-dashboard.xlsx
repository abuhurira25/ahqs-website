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Instructions" sheetId="1" state="visible" r:id="rId1"/>
    <sheet xmlns:r="http://schemas.openxmlformats.org/officeDocument/2006/relationships" name="KPI Data" sheetId="2" state="visible" r:id="rId2"/>
    <sheet xmlns:r="http://schemas.openxmlformats.org/officeDocument/2006/relationships" name="Summary Dashboard" sheetId="3" state="visible" r:id="rId3"/>
  </sheets>
  <definedNames>
    <definedName name="_xlnm._FilterDatabase" localSheetId="1" hidden="1">'KPI Data'!$A$1:$I$97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71F3B"/>
      <sz val="20"/>
    </font>
    <font>
      <name val="Calibri"/>
      <i val="1"/>
      <color rgb="00087F83"/>
      <sz val="11"/>
    </font>
    <font>
      <name val="Calibri"/>
      <color rgb="00667789"/>
      <sz val="11"/>
    </font>
    <font>
      <name val="Calibri"/>
      <b val="1"/>
      <color rgb="00071F3B"/>
      <sz val="13"/>
    </font>
    <font>
      <name val="Calibri"/>
      <color rgb="00173047"/>
      <sz val="10"/>
    </font>
    <font>
      <name val="Calibri"/>
      <i val="1"/>
      <color rgb="00667789"/>
      <sz val="9"/>
    </font>
    <font>
      <name val="Calibri"/>
      <color rgb="00667789"/>
      <sz val="9"/>
    </font>
    <font>
      <name val="Calibri"/>
      <b val="1"/>
      <color rgb="00FFFFFF"/>
      <sz val="11"/>
    </font>
    <font>
      <name val="Calibri"/>
      <b val="1"/>
      <color rgb="00071F3B"/>
      <sz val="16"/>
    </font>
  </fonts>
  <fills count="3">
    <fill>
      <patternFill/>
    </fill>
    <fill>
      <patternFill patternType="gray125"/>
    </fill>
    <fill>
      <patternFill patternType="solid">
        <fgColor rgb="00087F83"/>
        <bgColor rgb="00087F83"/>
      </patternFill>
    </fill>
  </fills>
  <borders count="2">
    <border>
      <left/>
      <right/>
      <top/>
      <bottom/>
      <diagonal/>
    </border>
    <border>
      <left style="thin">
        <color rgb="00DCE6EB"/>
      </left>
      <right style="thin">
        <color rgb="00DCE6EB"/>
      </right>
      <top style="thin">
        <color rgb="00DCE6EB"/>
      </top>
      <bottom style="thin">
        <color rgb="00DCE6EB"/>
      </bottom>
    </border>
  </borders>
  <cellStyleXfs count="1">
    <xf numFmtId="0" fontId="0" fillId="0" borderId="0"/>
  </cellStyleXfs>
  <cellXfs count="11">
    <xf numFmtId="0" fontId="0" fillId="0" borderId="0" pivotButton="0" quotePrefix="0" xfId="0"/>
    <xf numFmtId="0" fontId="1" fillId="0" borderId="0" applyAlignment="1" pivotButton="0" quotePrefix="0" xfId="0">
      <alignment horizontal="left"/>
    </xf>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8" fillId="2" borderId="1" applyAlignment="1" pivotButton="0" quotePrefix="0" xfId="0">
      <alignment horizontal="center" vertical="center" wrapText="1"/>
    </xf>
    <xf numFmtId="0" fontId="5" fillId="0" borderId="1" applyAlignment="1" pivotButton="0" quotePrefix="0" xfId="0">
      <alignment vertical="center"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93345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8:B24"/>
  <sheetViews>
    <sheetView showGridLines="0" workbookViewId="0">
      <selection activeCell="A1" sqref="A1"/>
    </sheetView>
  </sheetViews>
  <sheetFormatPr baseColWidth="8" defaultRowHeight="15"/>
  <cols>
    <col width="4" customWidth="1" min="1" max="1"/>
    <col width="50" customWidth="1" min="2" max="2"/>
    <col width="4" customWidth="1" min="3" max="3"/>
  </cols>
  <sheetData>
    <row r="8">
      <c r="B8" s="1" t="inlineStr">
        <is>
          <t>Quality Indicator Dashboard</t>
        </is>
      </c>
    </row>
    <row r="9">
      <c r="B9" s="2" t="inlineStr">
        <is>
          <t>AHQS — Accelerate Healthcare Quality Solutions</t>
        </is>
      </c>
    </row>
    <row r="11" ht="60" customHeight="1">
      <c r="B11" s="3" t="inlineStr">
        <is>
          <t>KPI tracking template for laboratory quality indicators including TAT, rejection rates, critical value reporting, and CAPA closure.</t>
        </is>
      </c>
    </row>
    <row r="13">
      <c r="B13" s="4" t="inlineStr">
        <is>
          <t>How to Use This Tool</t>
        </is>
      </c>
    </row>
    <row r="14">
      <c r="B14" s="5" t="inlineStr">
        <is>
          <t>1. Enter your organization name and facility details in the header area of each sheet</t>
        </is>
      </c>
    </row>
    <row r="15">
      <c r="B15" s="5" t="inlineStr">
        <is>
          <t>2. Fill in the data columns — yellow-shaded cells contain formulas and should not be edited</t>
        </is>
      </c>
    </row>
    <row r="16">
      <c r="B16" s="5" t="inlineStr">
        <is>
          <t>3. Use the dropdown menus where provided for consistent data entry</t>
        </is>
      </c>
    </row>
    <row r="17">
      <c r="B17" s="5" t="inlineStr">
        <is>
          <t>4. Review the summary/dashboard sheet for auto-calculated metrics</t>
        </is>
      </c>
    </row>
    <row r="18">
      <c r="B18" s="5" t="inlineStr">
        <is>
          <t>5. Save a copy for each audit cycle or reporting period</t>
        </is>
      </c>
    </row>
    <row r="19">
      <c r="B19" s="5" t="inlineStr">
        <is>
          <t>6. This tool is free to use and customize for your organization's internal quality improvement</t>
        </is>
      </c>
    </row>
    <row r="21">
      <c r="B21" s="4" t="inlineStr">
        <is>
          <t>Disclaimer</t>
        </is>
      </c>
    </row>
    <row r="22" ht="60" customHeight="1">
      <c r="B22" s="6" t="inlineStr">
        <is>
          <t>This is an AHQS-created quality improvement tool — not an official CAP, ISO 15189, JCI or AABB standards document. Always purchase official standards directly from the accrediting bodies. This template is provided free of charge for internal quality improvement use. © 2026 Accelerate Healthcare Quality Solutions (AHQS). Not for resale.</t>
        </is>
      </c>
    </row>
    <row r="24">
      <c r="B24" s="7" t="inlineStr">
        <is>
          <t>Tool ID: AHQS-KPI-001 | Version: 1.0 | Created: October 2026</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97"/>
  <sheetViews>
    <sheetView showGridLines="0" workbookViewId="0">
      <pane ySplit="1" topLeftCell="A2" activePane="bottomLeft" state="frozen"/>
      <selection pane="bottomLeft" activeCell="A1" sqref="A1"/>
    </sheetView>
  </sheetViews>
  <sheetFormatPr baseColWidth="8" defaultRowHeight="15"/>
  <cols>
    <col width="5" customWidth="1" min="1" max="1"/>
    <col width="12" customWidth="1" min="2" max="2"/>
    <col width="35" customWidth="1" min="3" max="3"/>
    <col width="12" customWidth="1" min="4" max="4"/>
    <col width="12" customWidth="1" min="5" max="5"/>
    <col width="10" customWidth="1" min="6" max="6"/>
    <col width="12" customWidth="1" min="7" max="7"/>
    <col width="10" customWidth="1" min="8" max="8"/>
    <col width="30" customWidth="1" min="9" max="9"/>
  </cols>
  <sheetData>
    <row r="1" ht="32" customHeight="1">
      <c r="A1" s="8" t="inlineStr">
        <is>
          <t>#</t>
        </is>
      </c>
      <c r="B1" s="8" t="inlineStr">
        <is>
          <t>Month</t>
        </is>
      </c>
      <c r="C1" s="8" t="inlineStr">
        <is>
          <t>Indicator</t>
        </is>
      </c>
      <c r="D1" s="8" t="inlineStr">
        <is>
          <t>Target</t>
        </is>
      </c>
      <c r="E1" s="8" t="inlineStr">
        <is>
          <t>Actual</t>
        </is>
      </c>
      <c r="F1" s="8" t="inlineStr">
        <is>
          <t>Unit</t>
        </is>
      </c>
      <c r="G1" s="8" t="inlineStr">
        <is>
          <t>Status</t>
        </is>
      </c>
      <c r="H1" s="8" t="inlineStr">
        <is>
          <t>Trend</t>
        </is>
      </c>
      <c r="I1" s="8" t="inlineStr">
        <is>
          <t>Comments</t>
        </is>
      </c>
    </row>
    <row r="2">
      <c r="A2" s="9" t="n">
        <v>1</v>
      </c>
      <c r="B2" s="9" t="inlineStr">
        <is>
          <t>Jan-2026</t>
        </is>
      </c>
      <c r="C2" s="9" t="inlineStr">
        <is>
          <t>Turnaround Time - Routine</t>
        </is>
      </c>
      <c r="D2" s="9" t="n">
        <v>4</v>
      </c>
      <c r="E2" s="9" t="n"/>
      <c r="F2" s="9" t="inlineStr">
        <is>
          <t>hours</t>
        </is>
      </c>
      <c r="G2" s="9">
        <f>IF(E2="","",IF("≤"="≥",IF(E2&gt;=4,"Met","Not Met"),IF(E2&lt;=4,"Met","Not Met")))</f>
        <v/>
      </c>
      <c r="H2" s="9" t="n"/>
      <c r="I2" s="9" t="n"/>
    </row>
    <row r="3">
      <c r="A3" s="9" t="n">
        <v>2</v>
      </c>
      <c r="B3" s="9" t="inlineStr">
        <is>
          <t>Feb-2026</t>
        </is>
      </c>
      <c r="C3" s="9" t="inlineStr">
        <is>
          <t>Turnaround Time - Routine</t>
        </is>
      </c>
      <c r="D3" s="9" t="n">
        <v>4</v>
      </c>
      <c r="E3" s="9" t="n"/>
      <c r="F3" s="9" t="inlineStr">
        <is>
          <t>hours</t>
        </is>
      </c>
      <c r="G3" s="9">
        <f>IF(E3="","",IF("≤"="≥",IF(E3&gt;=4,"Met","Not Met"),IF(E3&lt;=4,"Met","Not Met")))</f>
        <v/>
      </c>
      <c r="H3" s="9" t="n"/>
      <c r="I3" s="9" t="n"/>
    </row>
    <row r="4">
      <c r="A4" s="9" t="n">
        <v>3</v>
      </c>
      <c r="B4" s="9" t="inlineStr">
        <is>
          <t>Mar-2026</t>
        </is>
      </c>
      <c r="C4" s="9" t="inlineStr">
        <is>
          <t>Turnaround Time - Routine</t>
        </is>
      </c>
      <c r="D4" s="9" t="n">
        <v>4</v>
      </c>
      <c r="E4" s="9" t="n"/>
      <c r="F4" s="9" t="inlineStr">
        <is>
          <t>hours</t>
        </is>
      </c>
      <c r="G4" s="9">
        <f>IF(E4="","",IF("≤"="≥",IF(E4&gt;=4,"Met","Not Met"),IF(E4&lt;=4,"Met","Not Met")))</f>
        <v/>
      </c>
      <c r="H4" s="9" t="n"/>
      <c r="I4" s="9" t="n"/>
    </row>
    <row r="5">
      <c r="A5" s="9" t="n">
        <v>4</v>
      </c>
      <c r="B5" s="9" t="inlineStr">
        <is>
          <t>Apr-2026</t>
        </is>
      </c>
      <c r="C5" s="9" t="inlineStr">
        <is>
          <t>Turnaround Time - Routine</t>
        </is>
      </c>
      <c r="D5" s="9" t="n">
        <v>4</v>
      </c>
      <c r="E5" s="9" t="n"/>
      <c r="F5" s="9" t="inlineStr">
        <is>
          <t>hours</t>
        </is>
      </c>
      <c r="G5" s="9">
        <f>IF(E5="","",IF("≤"="≥",IF(E5&gt;=4,"Met","Not Met"),IF(E5&lt;=4,"Met","Not Met")))</f>
        <v/>
      </c>
      <c r="H5" s="9" t="n"/>
      <c r="I5" s="9" t="n"/>
    </row>
    <row r="6">
      <c r="A6" s="9" t="n">
        <v>5</v>
      </c>
      <c r="B6" s="9" t="inlineStr">
        <is>
          <t>May-2026</t>
        </is>
      </c>
      <c r="C6" s="9" t="inlineStr">
        <is>
          <t>Turnaround Time - Routine</t>
        </is>
      </c>
      <c r="D6" s="9" t="n">
        <v>4</v>
      </c>
      <c r="E6" s="9" t="n"/>
      <c r="F6" s="9" t="inlineStr">
        <is>
          <t>hours</t>
        </is>
      </c>
      <c r="G6" s="9">
        <f>IF(E6="","",IF("≤"="≥",IF(E6&gt;=4,"Met","Not Met"),IF(E6&lt;=4,"Met","Not Met")))</f>
        <v/>
      </c>
      <c r="H6" s="9" t="n"/>
      <c r="I6" s="9" t="n"/>
    </row>
    <row r="7">
      <c r="A7" s="9" t="n">
        <v>6</v>
      </c>
      <c r="B7" s="9" t="inlineStr">
        <is>
          <t>Jun-2026</t>
        </is>
      </c>
      <c r="C7" s="9" t="inlineStr">
        <is>
          <t>Turnaround Time - Routine</t>
        </is>
      </c>
      <c r="D7" s="9" t="n">
        <v>4</v>
      </c>
      <c r="E7" s="9" t="n"/>
      <c r="F7" s="9" t="inlineStr">
        <is>
          <t>hours</t>
        </is>
      </c>
      <c r="G7" s="9">
        <f>IF(E7="","",IF("≤"="≥",IF(E7&gt;=4,"Met","Not Met"),IF(E7&lt;=4,"Met","Not Met")))</f>
        <v/>
      </c>
      <c r="H7" s="9" t="n"/>
      <c r="I7" s="9" t="n"/>
    </row>
    <row r="8">
      <c r="A8" s="9" t="n">
        <v>7</v>
      </c>
      <c r="B8" s="9" t="inlineStr">
        <is>
          <t>Jul-2026</t>
        </is>
      </c>
      <c r="C8" s="9" t="inlineStr">
        <is>
          <t>Turnaround Time - Routine</t>
        </is>
      </c>
      <c r="D8" s="9" t="n">
        <v>4</v>
      </c>
      <c r="E8" s="9" t="n"/>
      <c r="F8" s="9" t="inlineStr">
        <is>
          <t>hours</t>
        </is>
      </c>
      <c r="G8" s="9">
        <f>IF(E8="","",IF("≤"="≥",IF(E8&gt;=4,"Met","Not Met"),IF(E8&lt;=4,"Met","Not Met")))</f>
        <v/>
      </c>
      <c r="H8" s="9" t="n"/>
      <c r="I8" s="9" t="n"/>
    </row>
    <row r="9">
      <c r="A9" s="9" t="n">
        <v>8</v>
      </c>
      <c r="B9" s="9" t="inlineStr">
        <is>
          <t>Aug-2026</t>
        </is>
      </c>
      <c r="C9" s="9" t="inlineStr">
        <is>
          <t>Turnaround Time - Routine</t>
        </is>
      </c>
      <c r="D9" s="9" t="n">
        <v>4</v>
      </c>
      <c r="E9" s="9" t="n"/>
      <c r="F9" s="9" t="inlineStr">
        <is>
          <t>hours</t>
        </is>
      </c>
      <c r="G9" s="9">
        <f>IF(E9="","",IF("≤"="≥",IF(E9&gt;=4,"Met","Not Met"),IF(E9&lt;=4,"Met","Not Met")))</f>
        <v/>
      </c>
      <c r="H9" s="9" t="n"/>
      <c r="I9" s="9" t="n"/>
    </row>
    <row r="10">
      <c r="A10" s="9" t="n">
        <v>9</v>
      </c>
      <c r="B10" s="9" t="inlineStr">
        <is>
          <t>Sep-2026</t>
        </is>
      </c>
      <c r="C10" s="9" t="inlineStr">
        <is>
          <t>Turnaround Time - Routine</t>
        </is>
      </c>
      <c r="D10" s="9" t="n">
        <v>4</v>
      </c>
      <c r="E10" s="9" t="n"/>
      <c r="F10" s="9" t="inlineStr">
        <is>
          <t>hours</t>
        </is>
      </c>
      <c r="G10" s="9">
        <f>IF(E10="","",IF("≤"="≥",IF(E10&gt;=4,"Met","Not Met"),IF(E10&lt;=4,"Met","Not Met")))</f>
        <v/>
      </c>
      <c r="H10" s="9" t="n"/>
      <c r="I10" s="9" t="n"/>
    </row>
    <row r="11">
      <c r="A11" s="9" t="n">
        <v>10</v>
      </c>
      <c r="B11" s="9" t="inlineStr">
        <is>
          <t>Oct-2026</t>
        </is>
      </c>
      <c r="C11" s="9" t="inlineStr">
        <is>
          <t>Turnaround Time - Routine</t>
        </is>
      </c>
      <c r="D11" s="9" t="n">
        <v>4</v>
      </c>
      <c r="E11" s="9" t="n"/>
      <c r="F11" s="9" t="inlineStr">
        <is>
          <t>hours</t>
        </is>
      </c>
      <c r="G11" s="9">
        <f>IF(E11="","",IF("≤"="≥",IF(E11&gt;=4,"Met","Not Met"),IF(E11&lt;=4,"Met","Not Met")))</f>
        <v/>
      </c>
      <c r="H11" s="9" t="n"/>
      <c r="I11" s="9" t="n"/>
    </row>
    <row r="12">
      <c r="A12" s="9" t="n">
        <v>11</v>
      </c>
      <c r="B12" s="9" t="inlineStr">
        <is>
          <t>Nov-2026</t>
        </is>
      </c>
      <c r="C12" s="9" t="inlineStr">
        <is>
          <t>Turnaround Time - Routine</t>
        </is>
      </c>
      <c r="D12" s="9" t="n">
        <v>4</v>
      </c>
      <c r="E12" s="9" t="n"/>
      <c r="F12" s="9" t="inlineStr">
        <is>
          <t>hours</t>
        </is>
      </c>
      <c r="G12" s="9">
        <f>IF(E12="","",IF("≤"="≥",IF(E12&gt;=4,"Met","Not Met"),IF(E12&lt;=4,"Met","Not Met")))</f>
        <v/>
      </c>
      <c r="H12" s="9" t="n"/>
      <c r="I12" s="9" t="n"/>
    </row>
    <row r="13">
      <c r="A13" s="9" t="n">
        <v>12</v>
      </c>
      <c r="B13" s="9" t="inlineStr">
        <is>
          <t>Dec-2026</t>
        </is>
      </c>
      <c r="C13" s="9" t="inlineStr">
        <is>
          <t>Turnaround Time - Routine</t>
        </is>
      </c>
      <c r="D13" s="9" t="n">
        <v>4</v>
      </c>
      <c r="E13" s="9" t="n"/>
      <c r="F13" s="9" t="inlineStr">
        <is>
          <t>hours</t>
        </is>
      </c>
      <c r="G13" s="9">
        <f>IF(E13="","",IF("≤"="≥",IF(E13&gt;=4,"Met","Not Met"),IF(E13&lt;=4,"Met","Not Met")))</f>
        <v/>
      </c>
      <c r="H13" s="9" t="n"/>
      <c r="I13" s="9" t="n"/>
    </row>
    <row r="14">
      <c r="A14" s="9" t="n">
        <v>13</v>
      </c>
      <c r="B14" s="9" t="inlineStr">
        <is>
          <t>Jan-2026</t>
        </is>
      </c>
      <c r="C14" s="9" t="inlineStr">
        <is>
          <t>Turnaround Time - STAT</t>
        </is>
      </c>
      <c r="D14" s="9" t="n">
        <v>2</v>
      </c>
      <c r="E14" s="9" t="n"/>
      <c r="F14" s="9" t="inlineStr">
        <is>
          <t>hours</t>
        </is>
      </c>
      <c r="G14" s="9">
        <f>IF(E14="","",IF("≤"="≥",IF(E14&gt;=2,"Met","Not Met"),IF(E14&lt;=2,"Met","Not Met")))</f>
        <v/>
      </c>
      <c r="H14" s="9" t="n"/>
      <c r="I14" s="9" t="n"/>
    </row>
    <row r="15">
      <c r="A15" s="9" t="n">
        <v>14</v>
      </c>
      <c r="B15" s="9" t="inlineStr">
        <is>
          <t>Feb-2026</t>
        </is>
      </c>
      <c r="C15" s="9" t="inlineStr">
        <is>
          <t>Turnaround Time - STAT</t>
        </is>
      </c>
      <c r="D15" s="9" t="n">
        <v>2</v>
      </c>
      <c r="E15" s="9" t="n"/>
      <c r="F15" s="9" t="inlineStr">
        <is>
          <t>hours</t>
        </is>
      </c>
      <c r="G15" s="9">
        <f>IF(E15="","",IF("≤"="≥",IF(E15&gt;=2,"Met","Not Met"),IF(E15&lt;=2,"Met","Not Met")))</f>
        <v/>
      </c>
      <c r="H15" s="9" t="n"/>
      <c r="I15" s="9" t="n"/>
    </row>
    <row r="16">
      <c r="A16" s="9" t="n">
        <v>15</v>
      </c>
      <c r="B16" s="9" t="inlineStr">
        <is>
          <t>Mar-2026</t>
        </is>
      </c>
      <c r="C16" s="9" t="inlineStr">
        <is>
          <t>Turnaround Time - STAT</t>
        </is>
      </c>
      <c r="D16" s="9" t="n">
        <v>2</v>
      </c>
      <c r="E16" s="9" t="n"/>
      <c r="F16" s="9" t="inlineStr">
        <is>
          <t>hours</t>
        </is>
      </c>
      <c r="G16" s="9">
        <f>IF(E16="","",IF("≤"="≥",IF(E16&gt;=2,"Met","Not Met"),IF(E16&lt;=2,"Met","Not Met")))</f>
        <v/>
      </c>
      <c r="H16" s="9" t="n"/>
      <c r="I16" s="9" t="n"/>
    </row>
    <row r="17">
      <c r="A17" s="9" t="n">
        <v>16</v>
      </c>
      <c r="B17" s="9" t="inlineStr">
        <is>
          <t>Apr-2026</t>
        </is>
      </c>
      <c r="C17" s="9" t="inlineStr">
        <is>
          <t>Turnaround Time - STAT</t>
        </is>
      </c>
      <c r="D17" s="9" t="n">
        <v>2</v>
      </c>
      <c r="E17" s="9" t="n"/>
      <c r="F17" s="9" t="inlineStr">
        <is>
          <t>hours</t>
        </is>
      </c>
      <c r="G17" s="9">
        <f>IF(E17="","",IF("≤"="≥",IF(E17&gt;=2,"Met","Not Met"),IF(E17&lt;=2,"Met","Not Met")))</f>
        <v/>
      </c>
      <c r="H17" s="9" t="n"/>
      <c r="I17" s="9" t="n"/>
    </row>
    <row r="18">
      <c r="A18" s="9" t="n">
        <v>17</v>
      </c>
      <c r="B18" s="9" t="inlineStr">
        <is>
          <t>May-2026</t>
        </is>
      </c>
      <c r="C18" s="9" t="inlineStr">
        <is>
          <t>Turnaround Time - STAT</t>
        </is>
      </c>
      <c r="D18" s="9" t="n">
        <v>2</v>
      </c>
      <c r="E18" s="9" t="n"/>
      <c r="F18" s="9" t="inlineStr">
        <is>
          <t>hours</t>
        </is>
      </c>
      <c r="G18" s="9">
        <f>IF(E18="","",IF("≤"="≥",IF(E18&gt;=2,"Met","Not Met"),IF(E18&lt;=2,"Met","Not Met")))</f>
        <v/>
      </c>
      <c r="H18" s="9" t="n"/>
      <c r="I18" s="9" t="n"/>
    </row>
    <row r="19">
      <c r="A19" s="9" t="n">
        <v>18</v>
      </c>
      <c r="B19" s="9" t="inlineStr">
        <is>
          <t>Jun-2026</t>
        </is>
      </c>
      <c r="C19" s="9" t="inlineStr">
        <is>
          <t>Turnaround Time - STAT</t>
        </is>
      </c>
      <c r="D19" s="9" t="n">
        <v>2</v>
      </c>
      <c r="E19" s="9" t="n"/>
      <c r="F19" s="9" t="inlineStr">
        <is>
          <t>hours</t>
        </is>
      </c>
      <c r="G19" s="9">
        <f>IF(E19="","",IF("≤"="≥",IF(E19&gt;=2,"Met","Not Met"),IF(E19&lt;=2,"Met","Not Met")))</f>
        <v/>
      </c>
      <c r="H19" s="9" t="n"/>
      <c r="I19" s="9" t="n"/>
    </row>
    <row r="20">
      <c r="A20" s="9" t="n">
        <v>19</v>
      </c>
      <c r="B20" s="9" t="inlineStr">
        <is>
          <t>Jul-2026</t>
        </is>
      </c>
      <c r="C20" s="9" t="inlineStr">
        <is>
          <t>Turnaround Time - STAT</t>
        </is>
      </c>
      <c r="D20" s="9" t="n">
        <v>2</v>
      </c>
      <c r="E20" s="9" t="n"/>
      <c r="F20" s="9" t="inlineStr">
        <is>
          <t>hours</t>
        </is>
      </c>
      <c r="G20" s="9">
        <f>IF(E20="","",IF("≤"="≥",IF(E20&gt;=2,"Met","Not Met"),IF(E20&lt;=2,"Met","Not Met")))</f>
        <v/>
      </c>
      <c r="H20" s="9" t="n"/>
      <c r="I20" s="9" t="n"/>
    </row>
    <row r="21">
      <c r="A21" s="9" t="n">
        <v>20</v>
      </c>
      <c r="B21" s="9" t="inlineStr">
        <is>
          <t>Aug-2026</t>
        </is>
      </c>
      <c r="C21" s="9" t="inlineStr">
        <is>
          <t>Turnaround Time - STAT</t>
        </is>
      </c>
      <c r="D21" s="9" t="n">
        <v>2</v>
      </c>
      <c r="E21" s="9" t="n"/>
      <c r="F21" s="9" t="inlineStr">
        <is>
          <t>hours</t>
        </is>
      </c>
      <c r="G21" s="9">
        <f>IF(E21="","",IF("≤"="≥",IF(E21&gt;=2,"Met","Not Met"),IF(E21&lt;=2,"Met","Not Met")))</f>
        <v/>
      </c>
      <c r="H21" s="9" t="n"/>
      <c r="I21" s="9" t="n"/>
    </row>
    <row r="22">
      <c r="A22" s="9" t="n">
        <v>21</v>
      </c>
      <c r="B22" s="9" t="inlineStr">
        <is>
          <t>Sep-2026</t>
        </is>
      </c>
      <c r="C22" s="9" t="inlineStr">
        <is>
          <t>Turnaround Time - STAT</t>
        </is>
      </c>
      <c r="D22" s="9" t="n">
        <v>2</v>
      </c>
      <c r="E22" s="9" t="n"/>
      <c r="F22" s="9" t="inlineStr">
        <is>
          <t>hours</t>
        </is>
      </c>
      <c r="G22" s="9">
        <f>IF(E22="","",IF("≤"="≥",IF(E22&gt;=2,"Met","Not Met"),IF(E22&lt;=2,"Met","Not Met")))</f>
        <v/>
      </c>
      <c r="H22" s="9" t="n"/>
      <c r="I22" s="9" t="n"/>
    </row>
    <row r="23">
      <c r="A23" s="9" t="n">
        <v>22</v>
      </c>
      <c r="B23" s="9" t="inlineStr">
        <is>
          <t>Oct-2026</t>
        </is>
      </c>
      <c r="C23" s="9" t="inlineStr">
        <is>
          <t>Turnaround Time - STAT</t>
        </is>
      </c>
      <c r="D23" s="9" t="n">
        <v>2</v>
      </c>
      <c r="E23" s="9" t="n"/>
      <c r="F23" s="9" t="inlineStr">
        <is>
          <t>hours</t>
        </is>
      </c>
      <c r="G23" s="9">
        <f>IF(E23="","",IF("≤"="≥",IF(E23&gt;=2,"Met","Not Met"),IF(E23&lt;=2,"Met","Not Met")))</f>
        <v/>
      </c>
      <c r="H23" s="9" t="n"/>
      <c r="I23" s="9" t="n"/>
    </row>
    <row r="24">
      <c r="A24" s="9" t="n">
        <v>23</v>
      </c>
      <c r="B24" s="9" t="inlineStr">
        <is>
          <t>Nov-2026</t>
        </is>
      </c>
      <c r="C24" s="9" t="inlineStr">
        <is>
          <t>Turnaround Time - STAT</t>
        </is>
      </c>
      <c r="D24" s="9" t="n">
        <v>2</v>
      </c>
      <c r="E24" s="9" t="n"/>
      <c r="F24" s="9" t="inlineStr">
        <is>
          <t>hours</t>
        </is>
      </c>
      <c r="G24" s="9">
        <f>IF(E24="","",IF("≤"="≥",IF(E24&gt;=2,"Met","Not Met"),IF(E24&lt;=2,"Met","Not Met")))</f>
        <v/>
      </c>
      <c r="H24" s="9" t="n"/>
      <c r="I24" s="9" t="n"/>
    </row>
    <row r="25">
      <c r="A25" s="9" t="n">
        <v>24</v>
      </c>
      <c r="B25" s="9" t="inlineStr">
        <is>
          <t>Dec-2026</t>
        </is>
      </c>
      <c r="C25" s="9" t="inlineStr">
        <is>
          <t>Turnaround Time - STAT</t>
        </is>
      </c>
      <c r="D25" s="9" t="n">
        <v>2</v>
      </c>
      <c r="E25" s="9" t="n"/>
      <c r="F25" s="9" t="inlineStr">
        <is>
          <t>hours</t>
        </is>
      </c>
      <c r="G25" s="9">
        <f>IF(E25="","",IF("≤"="≥",IF(E25&gt;=2,"Met","Not Met"),IF(E25&lt;=2,"Met","Not Met")))</f>
        <v/>
      </c>
      <c r="H25" s="9" t="n"/>
      <c r="I25" s="9" t="n"/>
    </row>
    <row r="26">
      <c r="A26" s="9" t="n">
        <v>25</v>
      </c>
      <c r="B26" s="9" t="inlineStr">
        <is>
          <t>Jan-2026</t>
        </is>
      </c>
      <c r="C26" s="9" t="inlineStr">
        <is>
          <t>Sample Rejection Rate</t>
        </is>
      </c>
      <c r="D26" s="9" t="n">
        <v>2</v>
      </c>
      <c r="E26" s="9" t="n"/>
      <c r="F26" s="9" t="inlineStr">
        <is>
          <t>%</t>
        </is>
      </c>
      <c r="G26" s="9">
        <f>IF(E26="","",IF("≤"="≥",IF(E26&gt;=2,"Met","Not Met"),IF(E26&lt;=2,"Met","Not Met")))</f>
        <v/>
      </c>
      <c r="H26" s="9" t="n"/>
      <c r="I26" s="9" t="n"/>
    </row>
    <row r="27">
      <c r="A27" s="9" t="n">
        <v>26</v>
      </c>
      <c r="B27" s="9" t="inlineStr">
        <is>
          <t>Feb-2026</t>
        </is>
      </c>
      <c r="C27" s="9" t="inlineStr">
        <is>
          <t>Sample Rejection Rate</t>
        </is>
      </c>
      <c r="D27" s="9" t="n">
        <v>2</v>
      </c>
      <c r="E27" s="9" t="n"/>
      <c r="F27" s="9" t="inlineStr">
        <is>
          <t>%</t>
        </is>
      </c>
      <c r="G27" s="9">
        <f>IF(E27="","",IF("≤"="≥",IF(E27&gt;=2,"Met","Not Met"),IF(E27&lt;=2,"Met","Not Met")))</f>
        <v/>
      </c>
      <c r="H27" s="9" t="n"/>
      <c r="I27" s="9" t="n"/>
    </row>
    <row r="28">
      <c r="A28" s="9" t="n">
        <v>27</v>
      </c>
      <c r="B28" s="9" t="inlineStr">
        <is>
          <t>Mar-2026</t>
        </is>
      </c>
      <c r="C28" s="9" t="inlineStr">
        <is>
          <t>Sample Rejection Rate</t>
        </is>
      </c>
      <c r="D28" s="9" t="n">
        <v>2</v>
      </c>
      <c r="E28" s="9" t="n"/>
      <c r="F28" s="9" t="inlineStr">
        <is>
          <t>%</t>
        </is>
      </c>
      <c r="G28" s="9">
        <f>IF(E28="","",IF("≤"="≥",IF(E28&gt;=2,"Met","Not Met"),IF(E28&lt;=2,"Met","Not Met")))</f>
        <v/>
      </c>
      <c r="H28" s="9" t="n"/>
      <c r="I28" s="9" t="n"/>
    </row>
    <row r="29">
      <c r="A29" s="9" t="n">
        <v>28</v>
      </c>
      <c r="B29" s="9" t="inlineStr">
        <is>
          <t>Apr-2026</t>
        </is>
      </c>
      <c r="C29" s="9" t="inlineStr">
        <is>
          <t>Sample Rejection Rate</t>
        </is>
      </c>
      <c r="D29" s="9" t="n">
        <v>2</v>
      </c>
      <c r="E29" s="9" t="n"/>
      <c r="F29" s="9" t="inlineStr">
        <is>
          <t>%</t>
        </is>
      </c>
      <c r="G29" s="9">
        <f>IF(E29="","",IF("≤"="≥",IF(E29&gt;=2,"Met","Not Met"),IF(E29&lt;=2,"Met","Not Met")))</f>
        <v/>
      </c>
      <c r="H29" s="9" t="n"/>
      <c r="I29" s="9" t="n"/>
    </row>
    <row r="30">
      <c r="A30" s="9" t="n">
        <v>29</v>
      </c>
      <c r="B30" s="9" t="inlineStr">
        <is>
          <t>May-2026</t>
        </is>
      </c>
      <c r="C30" s="9" t="inlineStr">
        <is>
          <t>Sample Rejection Rate</t>
        </is>
      </c>
      <c r="D30" s="9" t="n">
        <v>2</v>
      </c>
      <c r="E30" s="9" t="n"/>
      <c r="F30" s="9" t="inlineStr">
        <is>
          <t>%</t>
        </is>
      </c>
      <c r="G30" s="9">
        <f>IF(E30="","",IF("≤"="≥",IF(E30&gt;=2,"Met","Not Met"),IF(E30&lt;=2,"Met","Not Met")))</f>
        <v/>
      </c>
      <c r="H30" s="9" t="n"/>
      <c r="I30" s="9" t="n"/>
    </row>
    <row r="31">
      <c r="A31" s="9" t="n">
        <v>30</v>
      </c>
      <c r="B31" s="9" t="inlineStr">
        <is>
          <t>Jun-2026</t>
        </is>
      </c>
      <c r="C31" s="9" t="inlineStr">
        <is>
          <t>Sample Rejection Rate</t>
        </is>
      </c>
      <c r="D31" s="9" t="n">
        <v>2</v>
      </c>
      <c r="E31" s="9" t="n"/>
      <c r="F31" s="9" t="inlineStr">
        <is>
          <t>%</t>
        </is>
      </c>
      <c r="G31" s="9">
        <f>IF(E31="","",IF("≤"="≥",IF(E31&gt;=2,"Met","Not Met"),IF(E31&lt;=2,"Met","Not Met")))</f>
        <v/>
      </c>
      <c r="H31" s="9" t="n"/>
      <c r="I31" s="9" t="n"/>
    </row>
    <row r="32">
      <c r="A32" s="9" t="n">
        <v>31</v>
      </c>
      <c r="B32" s="9" t="inlineStr">
        <is>
          <t>Jul-2026</t>
        </is>
      </c>
      <c r="C32" s="9" t="inlineStr">
        <is>
          <t>Sample Rejection Rate</t>
        </is>
      </c>
      <c r="D32" s="9" t="n">
        <v>2</v>
      </c>
      <c r="E32" s="9" t="n"/>
      <c r="F32" s="9" t="inlineStr">
        <is>
          <t>%</t>
        </is>
      </c>
      <c r="G32" s="9">
        <f>IF(E32="","",IF("≤"="≥",IF(E32&gt;=2,"Met","Not Met"),IF(E32&lt;=2,"Met","Not Met")))</f>
        <v/>
      </c>
      <c r="H32" s="9" t="n"/>
      <c r="I32" s="9" t="n"/>
    </row>
    <row r="33">
      <c r="A33" s="9" t="n">
        <v>32</v>
      </c>
      <c r="B33" s="9" t="inlineStr">
        <is>
          <t>Aug-2026</t>
        </is>
      </c>
      <c r="C33" s="9" t="inlineStr">
        <is>
          <t>Sample Rejection Rate</t>
        </is>
      </c>
      <c r="D33" s="9" t="n">
        <v>2</v>
      </c>
      <c r="E33" s="9" t="n"/>
      <c r="F33" s="9" t="inlineStr">
        <is>
          <t>%</t>
        </is>
      </c>
      <c r="G33" s="9">
        <f>IF(E33="","",IF("≤"="≥",IF(E33&gt;=2,"Met","Not Met"),IF(E33&lt;=2,"Met","Not Met")))</f>
        <v/>
      </c>
      <c r="H33" s="9" t="n"/>
      <c r="I33" s="9" t="n"/>
    </row>
    <row r="34">
      <c r="A34" s="9" t="n">
        <v>33</v>
      </c>
      <c r="B34" s="9" t="inlineStr">
        <is>
          <t>Sep-2026</t>
        </is>
      </c>
      <c r="C34" s="9" t="inlineStr">
        <is>
          <t>Sample Rejection Rate</t>
        </is>
      </c>
      <c r="D34" s="9" t="n">
        <v>2</v>
      </c>
      <c r="E34" s="9" t="n"/>
      <c r="F34" s="9" t="inlineStr">
        <is>
          <t>%</t>
        </is>
      </c>
      <c r="G34" s="9">
        <f>IF(E34="","",IF("≤"="≥",IF(E34&gt;=2,"Met","Not Met"),IF(E34&lt;=2,"Met","Not Met")))</f>
        <v/>
      </c>
      <c r="H34" s="9" t="n"/>
      <c r="I34" s="9" t="n"/>
    </row>
    <row r="35">
      <c r="A35" s="9" t="n">
        <v>34</v>
      </c>
      <c r="B35" s="9" t="inlineStr">
        <is>
          <t>Oct-2026</t>
        </is>
      </c>
      <c r="C35" s="9" t="inlineStr">
        <is>
          <t>Sample Rejection Rate</t>
        </is>
      </c>
      <c r="D35" s="9" t="n">
        <v>2</v>
      </c>
      <c r="E35" s="9" t="n"/>
      <c r="F35" s="9" t="inlineStr">
        <is>
          <t>%</t>
        </is>
      </c>
      <c r="G35" s="9">
        <f>IF(E35="","",IF("≤"="≥",IF(E35&gt;=2,"Met","Not Met"),IF(E35&lt;=2,"Met","Not Met")))</f>
        <v/>
      </c>
      <c r="H35" s="9" t="n"/>
      <c r="I35" s="9" t="n"/>
    </row>
    <row r="36">
      <c r="A36" s="9" t="n">
        <v>35</v>
      </c>
      <c r="B36" s="9" t="inlineStr">
        <is>
          <t>Nov-2026</t>
        </is>
      </c>
      <c r="C36" s="9" t="inlineStr">
        <is>
          <t>Sample Rejection Rate</t>
        </is>
      </c>
      <c r="D36" s="9" t="n">
        <v>2</v>
      </c>
      <c r="E36" s="9" t="n"/>
      <c r="F36" s="9" t="inlineStr">
        <is>
          <t>%</t>
        </is>
      </c>
      <c r="G36" s="9">
        <f>IF(E36="","",IF("≤"="≥",IF(E36&gt;=2,"Met","Not Met"),IF(E36&lt;=2,"Met","Not Met")))</f>
        <v/>
      </c>
      <c r="H36" s="9" t="n"/>
      <c r="I36" s="9" t="n"/>
    </row>
    <row r="37">
      <c r="A37" s="9" t="n">
        <v>36</v>
      </c>
      <c r="B37" s="9" t="inlineStr">
        <is>
          <t>Dec-2026</t>
        </is>
      </c>
      <c r="C37" s="9" t="inlineStr">
        <is>
          <t>Sample Rejection Rate</t>
        </is>
      </c>
      <c r="D37" s="9" t="n">
        <v>2</v>
      </c>
      <c r="E37" s="9" t="n"/>
      <c r="F37" s="9" t="inlineStr">
        <is>
          <t>%</t>
        </is>
      </c>
      <c r="G37" s="9">
        <f>IF(E37="","",IF("≤"="≥",IF(E37&gt;=2,"Met","Not Met"),IF(E37&lt;=2,"Met","Not Met")))</f>
        <v/>
      </c>
      <c r="H37" s="9" t="n"/>
      <c r="I37" s="9" t="n"/>
    </row>
    <row r="38">
      <c r="A38" s="9" t="n">
        <v>37</v>
      </c>
      <c r="B38" s="9" t="inlineStr">
        <is>
          <t>Jan-2026</t>
        </is>
      </c>
      <c r="C38" s="9" t="inlineStr">
        <is>
          <t>Critical Value Reporting Time</t>
        </is>
      </c>
      <c r="D38" s="9" t="n">
        <v>30</v>
      </c>
      <c r="E38" s="9" t="n"/>
      <c r="F38" s="9" t="inlineStr">
        <is>
          <t>minutes</t>
        </is>
      </c>
      <c r="G38" s="9">
        <f>IF(E38="","",IF("≤"="≥",IF(E38&gt;=30,"Met","Not Met"),IF(E38&lt;=30,"Met","Not Met")))</f>
        <v/>
      </c>
      <c r="H38" s="9" t="n"/>
      <c r="I38" s="9" t="n"/>
    </row>
    <row r="39">
      <c r="A39" s="9" t="n">
        <v>38</v>
      </c>
      <c r="B39" s="9" t="inlineStr">
        <is>
          <t>Feb-2026</t>
        </is>
      </c>
      <c r="C39" s="9" t="inlineStr">
        <is>
          <t>Critical Value Reporting Time</t>
        </is>
      </c>
      <c r="D39" s="9" t="n">
        <v>30</v>
      </c>
      <c r="E39" s="9" t="n"/>
      <c r="F39" s="9" t="inlineStr">
        <is>
          <t>minutes</t>
        </is>
      </c>
      <c r="G39" s="9">
        <f>IF(E39="","",IF("≤"="≥",IF(E39&gt;=30,"Met","Not Met"),IF(E39&lt;=30,"Met","Not Met")))</f>
        <v/>
      </c>
      <c r="H39" s="9" t="n"/>
      <c r="I39" s="9" t="n"/>
    </row>
    <row r="40">
      <c r="A40" s="9" t="n">
        <v>39</v>
      </c>
      <c r="B40" s="9" t="inlineStr">
        <is>
          <t>Mar-2026</t>
        </is>
      </c>
      <c r="C40" s="9" t="inlineStr">
        <is>
          <t>Critical Value Reporting Time</t>
        </is>
      </c>
      <c r="D40" s="9" t="n">
        <v>30</v>
      </c>
      <c r="E40" s="9" t="n"/>
      <c r="F40" s="9" t="inlineStr">
        <is>
          <t>minutes</t>
        </is>
      </c>
      <c r="G40" s="9">
        <f>IF(E40="","",IF("≤"="≥",IF(E40&gt;=30,"Met","Not Met"),IF(E40&lt;=30,"Met","Not Met")))</f>
        <v/>
      </c>
      <c r="H40" s="9" t="n"/>
      <c r="I40" s="9" t="n"/>
    </row>
    <row r="41">
      <c r="A41" s="9" t="n">
        <v>40</v>
      </c>
      <c r="B41" s="9" t="inlineStr">
        <is>
          <t>Apr-2026</t>
        </is>
      </c>
      <c r="C41" s="9" t="inlineStr">
        <is>
          <t>Critical Value Reporting Time</t>
        </is>
      </c>
      <c r="D41" s="9" t="n">
        <v>30</v>
      </c>
      <c r="E41" s="9" t="n"/>
      <c r="F41" s="9" t="inlineStr">
        <is>
          <t>minutes</t>
        </is>
      </c>
      <c r="G41" s="9">
        <f>IF(E41="","",IF("≤"="≥",IF(E41&gt;=30,"Met","Not Met"),IF(E41&lt;=30,"Met","Not Met")))</f>
        <v/>
      </c>
      <c r="H41" s="9" t="n"/>
      <c r="I41" s="9" t="n"/>
    </row>
    <row r="42">
      <c r="A42" s="9" t="n">
        <v>41</v>
      </c>
      <c r="B42" s="9" t="inlineStr">
        <is>
          <t>May-2026</t>
        </is>
      </c>
      <c r="C42" s="9" t="inlineStr">
        <is>
          <t>Critical Value Reporting Time</t>
        </is>
      </c>
      <c r="D42" s="9" t="n">
        <v>30</v>
      </c>
      <c r="E42" s="9" t="n"/>
      <c r="F42" s="9" t="inlineStr">
        <is>
          <t>minutes</t>
        </is>
      </c>
      <c r="G42" s="9">
        <f>IF(E42="","",IF("≤"="≥",IF(E42&gt;=30,"Met","Not Met"),IF(E42&lt;=30,"Met","Not Met")))</f>
        <v/>
      </c>
      <c r="H42" s="9" t="n"/>
      <c r="I42" s="9" t="n"/>
    </row>
    <row r="43">
      <c r="A43" s="9" t="n">
        <v>42</v>
      </c>
      <c r="B43" s="9" t="inlineStr">
        <is>
          <t>Jun-2026</t>
        </is>
      </c>
      <c r="C43" s="9" t="inlineStr">
        <is>
          <t>Critical Value Reporting Time</t>
        </is>
      </c>
      <c r="D43" s="9" t="n">
        <v>30</v>
      </c>
      <c r="E43" s="9" t="n"/>
      <c r="F43" s="9" t="inlineStr">
        <is>
          <t>minutes</t>
        </is>
      </c>
      <c r="G43" s="9">
        <f>IF(E43="","",IF("≤"="≥",IF(E43&gt;=30,"Met","Not Met"),IF(E43&lt;=30,"Met","Not Met")))</f>
        <v/>
      </c>
      <c r="H43" s="9" t="n"/>
      <c r="I43" s="9" t="n"/>
    </row>
    <row r="44">
      <c r="A44" s="9" t="n">
        <v>43</v>
      </c>
      <c r="B44" s="9" t="inlineStr">
        <is>
          <t>Jul-2026</t>
        </is>
      </c>
      <c r="C44" s="9" t="inlineStr">
        <is>
          <t>Critical Value Reporting Time</t>
        </is>
      </c>
      <c r="D44" s="9" t="n">
        <v>30</v>
      </c>
      <c r="E44" s="9" t="n"/>
      <c r="F44" s="9" t="inlineStr">
        <is>
          <t>minutes</t>
        </is>
      </c>
      <c r="G44" s="9">
        <f>IF(E44="","",IF("≤"="≥",IF(E44&gt;=30,"Met","Not Met"),IF(E44&lt;=30,"Met","Not Met")))</f>
        <v/>
      </c>
      <c r="H44" s="9" t="n"/>
      <c r="I44" s="9" t="n"/>
    </row>
    <row r="45">
      <c r="A45" s="9" t="n">
        <v>44</v>
      </c>
      <c r="B45" s="9" t="inlineStr">
        <is>
          <t>Aug-2026</t>
        </is>
      </c>
      <c r="C45" s="9" t="inlineStr">
        <is>
          <t>Critical Value Reporting Time</t>
        </is>
      </c>
      <c r="D45" s="9" t="n">
        <v>30</v>
      </c>
      <c r="E45" s="9" t="n"/>
      <c r="F45" s="9" t="inlineStr">
        <is>
          <t>minutes</t>
        </is>
      </c>
      <c r="G45" s="9">
        <f>IF(E45="","",IF("≤"="≥",IF(E45&gt;=30,"Met","Not Met"),IF(E45&lt;=30,"Met","Not Met")))</f>
        <v/>
      </c>
      <c r="H45" s="9" t="n"/>
      <c r="I45" s="9" t="n"/>
    </row>
    <row r="46">
      <c r="A46" s="9" t="n">
        <v>45</v>
      </c>
      <c r="B46" s="9" t="inlineStr">
        <is>
          <t>Sep-2026</t>
        </is>
      </c>
      <c r="C46" s="9" t="inlineStr">
        <is>
          <t>Critical Value Reporting Time</t>
        </is>
      </c>
      <c r="D46" s="9" t="n">
        <v>30</v>
      </c>
      <c r="E46" s="9" t="n"/>
      <c r="F46" s="9" t="inlineStr">
        <is>
          <t>minutes</t>
        </is>
      </c>
      <c r="G46" s="9">
        <f>IF(E46="","",IF("≤"="≥",IF(E46&gt;=30,"Met","Not Met"),IF(E46&lt;=30,"Met","Not Met")))</f>
        <v/>
      </c>
      <c r="H46" s="9" t="n"/>
      <c r="I46" s="9" t="n"/>
    </row>
    <row r="47">
      <c r="A47" s="9" t="n">
        <v>46</v>
      </c>
      <c r="B47" s="9" t="inlineStr">
        <is>
          <t>Oct-2026</t>
        </is>
      </c>
      <c r="C47" s="9" t="inlineStr">
        <is>
          <t>Critical Value Reporting Time</t>
        </is>
      </c>
      <c r="D47" s="9" t="n">
        <v>30</v>
      </c>
      <c r="E47" s="9" t="n"/>
      <c r="F47" s="9" t="inlineStr">
        <is>
          <t>minutes</t>
        </is>
      </c>
      <c r="G47" s="9">
        <f>IF(E47="","",IF("≤"="≥",IF(E47&gt;=30,"Met","Not Met"),IF(E47&lt;=30,"Met","Not Met")))</f>
        <v/>
      </c>
      <c r="H47" s="9" t="n"/>
      <c r="I47" s="9" t="n"/>
    </row>
    <row r="48">
      <c r="A48" s="9" t="n">
        <v>47</v>
      </c>
      <c r="B48" s="9" t="inlineStr">
        <is>
          <t>Nov-2026</t>
        </is>
      </c>
      <c r="C48" s="9" t="inlineStr">
        <is>
          <t>Critical Value Reporting Time</t>
        </is>
      </c>
      <c r="D48" s="9" t="n">
        <v>30</v>
      </c>
      <c r="E48" s="9" t="n"/>
      <c r="F48" s="9" t="inlineStr">
        <is>
          <t>minutes</t>
        </is>
      </c>
      <c r="G48" s="9">
        <f>IF(E48="","",IF("≤"="≥",IF(E48&gt;=30,"Met","Not Met"),IF(E48&lt;=30,"Met","Not Met")))</f>
        <v/>
      </c>
      <c r="H48" s="9" t="n"/>
      <c r="I48" s="9" t="n"/>
    </row>
    <row r="49">
      <c r="A49" s="9" t="n">
        <v>48</v>
      </c>
      <c r="B49" s="9" t="inlineStr">
        <is>
          <t>Dec-2026</t>
        </is>
      </c>
      <c r="C49" s="9" t="inlineStr">
        <is>
          <t>Critical Value Reporting Time</t>
        </is>
      </c>
      <c r="D49" s="9" t="n">
        <v>30</v>
      </c>
      <c r="E49" s="9" t="n"/>
      <c r="F49" s="9" t="inlineStr">
        <is>
          <t>minutes</t>
        </is>
      </c>
      <c r="G49" s="9">
        <f>IF(E49="","",IF("≤"="≥",IF(E49&gt;=30,"Met","Not Met"),IF(E49&lt;=30,"Met","Not Met")))</f>
        <v/>
      </c>
      <c r="H49" s="9" t="n"/>
      <c r="I49" s="9" t="n"/>
    </row>
    <row r="50">
      <c r="A50" s="9" t="n">
        <v>49</v>
      </c>
      <c r="B50" s="9" t="inlineStr">
        <is>
          <t>Jan-2026</t>
        </is>
      </c>
      <c r="C50" s="9" t="inlineStr">
        <is>
          <t>CAPA Closure Rate (30 days)</t>
        </is>
      </c>
      <c r="D50" s="9" t="n">
        <v>90</v>
      </c>
      <c r="E50" s="9" t="n"/>
      <c r="F50" s="9" t="inlineStr">
        <is>
          <t>%</t>
        </is>
      </c>
      <c r="G50" s="9">
        <f>IF(E50="","",IF("≥"="≥",IF(E50&gt;=90,"Met","Not Met"),IF(E50&lt;=90,"Met","Not Met")))</f>
        <v/>
      </c>
      <c r="H50" s="9" t="n"/>
      <c r="I50" s="9" t="n"/>
    </row>
    <row r="51">
      <c r="A51" s="9" t="n">
        <v>50</v>
      </c>
      <c r="B51" s="9" t="inlineStr">
        <is>
          <t>Feb-2026</t>
        </is>
      </c>
      <c r="C51" s="9" t="inlineStr">
        <is>
          <t>CAPA Closure Rate (30 days)</t>
        </is>
      </c>
      <c r="D51" s="9" t="n">
        <v>90</v>
      </c>
      <c r="E51" s="9" t="n"/>
      <c r="F51" s="9" t="inlineStr">
        <is>
          <t>%</t>
        </is>
      </c>
      <c r="G51" s="9">
        <f>IF(E51="","",IF("≥"="≥",IF(E51&gt;=90,"Met","Not Met"),IF(E51&lt;=90,"Met","Not Met")))</f>
        <v/>
      </c>
      <c r="H51" s="9" t="n"/>
      <c r="I51" s="9" t="n"/>
    </row>
    <row r="52">
      <c r="A52" s="9" t="n">
        <v>51</v>
      </c>
      <c r="B52" s="9" t="inlineStr">
        <is>
          <t>Mar-2026</t>
        </is>
      </c>
      <c r="C52" s="9" t="inlineStr">
        <is>
          <t>CAPA Closure Rate (30 days)</t>
        </is>
      </c>
      <c r="D52" s="9" t="n">
        <v>90</v>
      </c>
      <c r="E52" s="9" t="n"/>
      <c r="F52" s="9" t="inlineStr">
        <is>
          <t>%</t>
        </is>
      </c>
      <c r="G52" s="9">
        <f>IF(E52="","",IF("≥"="≥",IF(E52&gt;=90,"Met","Not Met"),IF(E52&lt;=90,"Met","Not Met")))</f>
        <v/>
      </c>
      <c r="H52" s="9" t="n"/>
      <c r="I52" s="9" t="n"/>
    </row>
    <row r="53">
      <c r="A53" s="9" t="n">
        <v>52</v>
      </c>
      <c r="B53" s="9" t="inlineStr">
        <is>
          <t>Apr-2026</t>
        </is>
      </c>
      <c r="C53" s="9" t="inlineStr">
        <is>
          <t>CAPA Closure Rate (30 days)</t>
        </is>
      </c>
      <c r="D53" s="9" t="n">
        <v>90</v>
      </c>
      <c r="E53" s="9" t="n"/>
      <c r="F53" s="9" t="inlineStr">
        <is>
          <t>%</t>
        </is>
      </c>
      <c r="G53" s="9">
        <f>IF(E53="","",IF("≥"="≥",IF(E53&gt;=90,"Met","Not Met"),IF(E53&lt;=90,"Met","Not Met")))</f>
        <v/>
      </c>
      <c r="H53" s="9" t="n"/>
      <c r="I53" s="9" t="n"/>
    </row>
    <row r="54">
      <c r="A54" s="9" t="n">
        <v>53</v>
      </c>
      <c r="B54" s="9" t="inlineStr">
        <is>
          <t>May-2026</t>
        </is>
      </c>
      <c r="C54" s="9" t="inlineStr">
        <is>
          <t>CAPA Closure Rate (30 days)</t>
        </is>
      </c>
      <c r="D54" s="9" t="n">
        <v>90</v>
      </c>
      <c r="E54" s="9" t="n"/>
      <c r="F54" s="9" t="inlineStr">
        <is>
          <t>%</t>
        </is>
      </c>
      <c r="G54" s="9">
        <f>IF(E54="","",IF("≥"="≥",IF(E54&gt;=90,"Met","Not Met"),IF(E54&lt;=90,"Met","Not Met")))</f>
        <v/>
      </c>
      <c r="H54" s="9" t="n"/>
      <c r="I54" s="9" t="n"/>
    </row>
    <row r="55">
      <c r="A55" s="9" t="n">
        <v>54</v>
      </c>
      <c r="B55" s="9" t="inlineStr">
        <is>
          <t>Jun-2026</t>
        </is>
      </c>
      <c r="C55" s="9" t="inlineStr">
        <is>
          <t>CAPA Closure Rate (30 days)</t>
        </is>
      </c>
      <c r="D55" s="9" t="n">
        <v>90</v>
      </c>
      <c r="E55" s="9" t="n"/>
      <c r="F55" s="9" t="inlineStr">
        <is>
          <t>%</t>
        </is>
      </c>
      <c r="G55" s="9">
        <f>IF(E55="","",IF("≥"="≥",IF(E55&gt;=90,"Met","Not Met"),IF(E55&lt;=90,"Met","Not Met")))</f>
        <v/>
      </c>
      <c r="H55" s="9" t="n"/>
      <c r="I55" s="9" t="n"/>
    </row>
    <row r="56">
      <c r="A56" s="9" t="n">
        <v>55</v>
      </c>
      <c r="B56" s="9" t="inlineStr">
        <is>
          <t>Jul-2026</t>
        </is>
      </c>
      <c r="C56" s="9" t="inlineStr">
        <is>
          <t>CAPA Closure Rate (30 days)</t>
        </is>
      </c>
      <c r="D56" s="9" t="n">
        <v>90</v>
      </c>
      <c r="E56" s="9" t="n"/>
      <c r="F56" s="9" t="inlineStr">
        <is>
          <t>%</t>
        </is>
      </c>
      <c r="G56" s="9">
        <f>IF(E56="","",IF("≥"="≥",IF(E56&gt;=90,"Met","Not Met"),IF(E56&lt;=90,"Met","Not Met")))</f>
        <v/>
      </c>
      <c r="H56" s="9" t="n"/>
      <c r="I56" s="9" t="n"/>
    </row>
    <row r="57">
      <c r="A57" s="9" t="n">
        <v>56</v>
      </c>
      <c r="B57" s="9" t="inlineStr">
        <is>
          <t>Aug-2026</t>
        </is>
      </c>
      <c r="C57" s="9" t="inlineStr">
        <is>
          <t>CAPA Closure Rate (30 days)</t>
        </is>
      </c>
      <c r="D57" s="9" t="n">
        <v>90</v>
      </c>
      <c r="E57" s="9" t="n"/>
      <c r="F57" s="9" t="inlineStr">
        <is>
          <t>%</t>
        </is>
      </c>
      <c r="G57" s="9">
        <f>IF(E57="","",IF("≥"="≥",IF(E57&gt;=90,"Met","Not Met"),IF(E57&lt;=90,"Met","Not Met")))</f>
        <v/>
      </c>
      <c r="H57" s="9" t="n"/>
      <c r="I57" s="9" t="n"/>
    </row>
    <row r="58">
      <c r="A58" s="9" t="n">
        <v>57</v>
      </c>
      <c r="B58" s="9" t="inlineStr">
        <is>
          <t>Sep-2026</t>
        </is>
      </c>
      <c r="C58" s="9" t="inlineStr">
        <is>
          <t>CAPA Closure Rate (30 days)</t>
        </is>
      </c>
      <c r="D58" s="9" t="n">
        <v>90</v>
      </c>
      <c r="E58" s="9" t="n"/>
      <c r="F58" s="9" t="inlineStr">
        <is>
          <t>%</t>
        </is>
      </c>
      <c r="G58" s="9">
        <f>IF(E58="","",IF("≥"="≥",IF(E58&gt;=90,"Met","Not Met"),IF(E58&lt;=90,"Met","Not Met")))</f>
        <v/>
      </c>
      <c r="H58" s="9" t="n"/>
      <c r="I58" s="9" t="n"/>
    </row>
    <row r="59">
      <c r="A59" s="9" t="n">
        <v>58</v>
      </c>
      <c r="B59" s="9" t="inlineStr">
        <is>
          <t>Oct-2026</t>
        </is>
      </c>
      <c r="C59" s="9" t="inlineStr">
        <is>
          <t>CAPA Closure Rate (30 days)</t>
        </is>
      </c>
      <c r="D59" s="9" t="n">
        <v>90</v>
      </c>
      <c r="E59" s="9" t="n"/>
      <c r="F59" s="9" t="inlineStr">
        <is>
          <t>%</t>
        </is>
      </c>
      <c r="G59" s="9">
        <f>IF(E59="","",IF("≥"="≥",IF(E59&gt;=90,"Met","Not Met"),IF(E59&lt;=90,"Met","Not Met")))</f>
        <v/>
      </c>
      <c r="H59" s="9" t="n"/>
      <c r="I59" s="9" t="n"/>
    </row>
    <row r="60">
      <c r="A60" s="9" t="n">
        <v>59</v>
      </c>
      <c r="B60" s="9" t="inlineStr">
        <is>
          <t>Nov-2026</t>
        </is>
      </c>
      <c r="C60" s="9" t="inlineStr">
        <is>
          <t>CAPA Closure Rate (30 days)</t>
        </is>
      </c>
      <c r="D60" s="9" t="n">
        <v>90</v>
      </c>
      <c r="E60" s="9" t="n"/>
      <c r="F60" s="9" t="inlineStr">
        <is>
          <t>%</t>
        </is>
      </c>
      <c r="G60" s="9">
        <f>IF(E60="","",IF("≥"="≥",IF(E60&gt;=90,"Met","Not Met"),IF(E60&lt;=90,"Met","Not Met")))</f>
        <v/>
      </c>
      <c r="H60" s="9" t="n"/>
      <c r="I60" s="9" t="n"/>
    </row>
    <row r="61">
      <c r="A61" s="9" t="n">
        <v>60</v>
      </c>
      <c r="B61" s="9" t="inlineStr">
        <is>
          <t>Dec-2026</t>
        </is>
      </c>
      <c r="C61" s="9" t="inlineStr">
        <is>
          <t>CAPA Closure Rate (30 days)</t>
        </is>
      </c>
      <c r="D61" s="9" t="n">
        <v>90</v>
      </c>
      <c r="E61" s="9" t="n"/>
      <c r="F61" s="9" t="inlineStr">
        <is>
          <t>%</t>
        </is>
      </c>
      <c r="G61" s="9">
        <f>IF(E61="","",IF("≥"="≥",IF(E61&gt;=90,"Met","Not Met"),IF(E61&lt;=90,"Met","Not Met")))</f>
        <v/>
      </c>
      <c r="H61" s="9" t="n"/>
      <c r="I61" s="9" t="n"/>
    </row>
    <row r="62">
      <c r="A62" s="9" t="n">
        <v>61</v>
      </c>
      <c r="B62" s="9" t="inlineStr">
        <is>
          <t>Jan-2026</t>
        </is>
      </c>
      <c r="C62" s="9" t="inlineStr">
        <is>
          <t>QC Pass Rate</t>
        </is>
      </c>
      <c r="D62" s="9" t="n">
        <v>95</v>
      </c>
      <c r="E62" s="9" t="n"/>
      <c r="F62" s="9" t="inlineStr">
        <is>
          <t>%</t>
        </is>
      </c>
      <c r="G62" s="9">
        <f>IF(E62="","",IF("≥"="≥",IF(E62&gt;=95,"Met","Not Met"),IF(E62&lt;=95,"Met","Not Met")))</f>
        <v/>
      </c>
      <c r="H62" s="9" t="n"/>
      <c r="I62" s="9" t="n"/>
    </row>
    <row r="63">
      <c r="A63" s="9" t="n">
        <v>62</v>
      </c>
      <c r="B63" s="9" t="inlineStr">
        <is>
          <t>Feb-2026</t>
        </is>
      </c>
      <c r="C63" s="9" t="inlineStr">
        <is>
          <t>QC Pass Rate</t>
        </is>
      </c>
      <c r="D63" s="9" t="n">
        <v>95</v>
      </c>
      <c r="E63" s="9" t="n"/>
      <c r="F63" s="9" t="inlineStr">
        <is>
          <t>%</t>
        </is>
      </c>
      <c r="G63" s="9">
        <f>IF(E63="","",IF("≥"="≥",IF(E63&gt;=95,"Met","Not Met"),IF(E63&lt;=95,"Met","Not Met")))</f>
        <v/>
      </c>
      <c r="H63" s="9" t="n"/>
      <c r="I63" s="9" t="n"/>
    </row>
    <row r="64">
      <c r="A64" s="9" t="n">
        <v>63</v>
      </c>
      <c r="B64" s="9" t="inlineStr">
        <is>
          <t>Mar-2026</t>
        </is>
      </c>
      <c r="C64" s="9" t="inlineStr">
        <is>
          <t>QC Pass Rate</t>
        </is>
      </c>
      <c r="D64" s="9" t="n">
        <v>95</v>
      </c>
      <c r="E64" s="9" t="n"/>
      <c r="F64" s="9" t="inlineStr">
        <is>
          <t>%</t>
        </is>
      </c>
      <c r="G64" s="9">
        <f>IF(E64="","",IF("≥"="≥",IF(E64&gt;=95,"Met","Not Met"),IF(E64&lt;=95,"Met","Not Met")))</f>
        <v/>
      </c>
      <c r="H64" s="9" t="n"/>
      <c r="I64" s="9" t="n"/>
    </row>
    <row r="65">
      <c r="A65" s="9" t="n">
        <v>64</v>
      </c>
      <c r="B65" s="9" t="inlineStr">
        <is>
          <t>Apr-2026</t>
        </is>
      </c>
      <c r="C65" s="9" t="inlineStr">
        <is>
          <t>QC Pass Rate</t>
        </is>
      </c>
      <c r="D65" s="9" t="n">
        <v>95</v>
      </c>
      <c r="E65" s="9" t="n"/>
      <c r="F65" s="9" t="inlineStr">
        <is>
          <t>%</t>
        </is>
      </c>
      <c r="G65" s="9">
        <f>IF(E65="","",IF("≥"="≥",IF(E65&gt;=95,"Met","Not Met"),IF(E65&lt;=95,"Met","Not Met")))</f>
        <v/>
      </c>
      <c r="H65" s="9" t="n"/>
      <c r="I65" s="9" t="n"/>
    </row>
    <row r="66">
      <c r="A66" s="9" t="n">
        <v>65</v>
      </c>
      <c r="B66" s="9" t="inlineStr">
        <is>
          <t>May-2026</t>
        </is>
      </c>
      <c r="C66" s="9" t="inlineStr">
        <is>
          <t>QC Pass Rate</t>
        </is>
      </c>
      <c r="D66" s="9" t="n">
        <v>95</v>
      </c>
      <c r="E66" s="9" t="n"/>
      <c r="F66" s="9" t="inlineStr">
        <is>
          <t>%</t>
        </is>
      </c>
      <c r="G66" s="9">
        <f>IF(E66="","",IF("≥"="≥",IF(E66&gt;=95,"Met","Not Met"),IF(E66&lt;=95,"Met","Not Met")))</f>
        <v/>
      </c>
      <c r="H66" s="9" t="n"/>
      <c r="I66" s="9" t="n"/>
    </row>
    <row r="67">
      <c r="A67" s="9" t="n">
        <v>66</v>
      </c>
      <c r="B67" s="9" t="inlineStr">
        <is>
          <t>Jun-2026</t>
        </is>
      </c>
      <c r="C67" s="9" t="inlineStr">
        <is>
          <t>QC Pass Rate</t>
        </is>
      </c>
      <c r="D67" s="9" t="n">
        <v>95</v>
      </c>
      <c r="E67" s="9" t="n"/>
      <c r="F67" s="9" t="inlineStr">
        <is>
          <t>%</t>
        </is>
      </c>
      <c r="G67" s="9">
        <f>IF(E67="","",IF("≥"="≥",IF(E67&gt;=95,"Met","Not Met"),IF(E67&lt;=95,"Met","Not Met")))</f>
        <v/>
      </c>
      <c r="H67" s="9" t="n"/>
      <c r="I67" s="9" t="n"/>
    </row>
    <row r="68">
      <c r="A68" s="9" t="n">
        <v>67</v>
      </c>
      <c r="B68" s="9" t="inlineStr">
        <is>
          <t>Jul-2026</t>
        </is>
      </c>
      <c r="C68" s="9" t="inlineStr">
        <is>
          <t>QC Pass Rate</t>
        </is>
      </c>
      <c r="D68" s="9" t="n">
        <v>95</v>
      </c>
      <c r="E68" s="9" t="n"/>
      <c r="F68" s="9" t="inlineStr">
        <is>
          <t>%</t>
        </is>
      </c>
      <c r="G68" s="9">
        <f>IF(E68="","",IF("≥"="≥",IF(E68&gt;=95,"Met","Not Met"),IF(E68&lt;=95,"Met","Not Met")))</f>
        <v/>
      </c>
      <c r="H68" s="9" t="n"/>
      <c r="I68" s="9" t="n"/>
    </row>
    <row r="69">
      <c r="A69" s="9" t="n">
        <v>68</v>
      </c>
      <c r="B69" s="9" t="inlineStr">
        <is>
          <t>Aug-2026</t>
        </is>
      </c>
      <c r="C69" s="9" t="inlineStr">
        <is>
          <t>QC Pass Rate</t>
        </is>
      </c>
      <c r="D69" s="9" t="n">
        <v>95</v>
      </c>
      <c r="E69" s="9" t="n"/>
      <c r="F69" s="9" t="inlineStr">
        <is>
          <t>%</t>
        </is>
      </c>
      <c r="G69" s="9">
        <f>IF(E69="","",IF("≥"="≥",IF(E69&gt;=95,"Met","Not Met"),IF(E69&lt;=95,"Met","Not Met")))</f>
        <v/>
      </c>
      <c r="H69" s="9" t="n"/>
      <c r="I69" s="9" t="n"/>
    </row>
    <row r="70">
      <c r="A70" s="9" t="n">
        <v>69</v>
      </c>
      <c r="B70" s="9" t="inlineStr">
        <is>
          <t>Sep-2026</t>
        </is>
      </c>
      <c r="C70" s="9" t="inlineStr">
        <is>
          <t>QC Pass Rate</t>
        </is>
      </c>
      <c r="D70" s="9" t="n">
        <v>95</v>
      </c>
      <c r="E70" s="9" t="n"/>
      <c r="F70" s="9" t="inlineStr">
        <is>
          <t>%</t>
        </is>
      </c>
      <c r="G70" s="9">
        <f>IF(E70="","",IF("≥"="≥",IF(E70&gt;=95,"Met","Not Met"),IF(E70&lt;=95,"Met","Not Met")))</f>
        <v/>
      </c>
      <c r="H70" s="9" t="n"/>
      <c r="I70" s="9" t="n"/>
    </row>
    <row r="71">
      <c r="A71" s="9" t="n">
        <v>70</v>
      </c>
      <c r="B71" s="9" t="inlineStr">
        <is>
          <t>Oct-2026</t>
        </is>
      </c>
      <c r="C71" s="9" t="inlineStr">
        <is>
          <t>QC Pass Rate</t>
        </is>
      </c>
      <c r="D71" s="9" t="n">
        <v>95</v>
      </c>
      <c r="E71" s="9" t="n"/>
      <c r="F71" s="9" t="inlineStr">
        <is>
          <t>%</t>
        </is>
      </c>
      <c r="G71" s="9">
        <f>IF(E71="","",IF("≥"="≥",IF(E71&gt;=95,"Met","Not Met"),IF(E71&lt;=95,"Met","Not Met")))</f>
        <v/>
      </c>
      <c r="H71" s="9" t="n"/>
      <c r="I71" s="9" t="n"/>
    </row>
    <row r="72">
      <c r="A72" s="9" t="n">
        <v>71</v>
      </c>
      <c r="B72" s="9" t="inlineStr">
        <is>
          <t>Nov-2026</t>
        </is>
      </c>
      <c r="C72" s="9" t="inlineStr">
        <is>
          <t>QC Pass Rate</t>
        </is>
      </c>
      <c r="D72" s="9" t="n">
        <v>95</v>
      </c>
      <c r="E72" s="9" t="n"/>
      <c r="F72" s="9" t="inlineStr">
        <is>
          <t>%</t>
        </is>
      </c>
      <c r="G72" s="9">
        <f>IF(E72="","",IF("≥"="≥",IF(E72&gt;=95,"Met","Not Met"),IF(E72&lt;=95,"Met","Not Met")))</f>
        <v/>
      </c>
      <c r="H72" s="9" t="n"/>
      <c r="I72" s="9" t="n"/>
    </row>
    <row r="73">
      <c r="A73" s="9" t="n">
        <v>72</v>
      </c>
      <c r="B73" s="9" t="inlineStr">
        <is>
          <t>Dec-2026</t>
        </is>
      </c>
      <c r="C73" s="9" t="inlineStr">
        <is>
          <t>QC Pass Rate</t>
        </is>
      </c>
      <c r="D73" s="9" t="n">
        <v>95</v>
      </c>
      <c r="E73" s="9" t="n"/>
      <c r="F73" s="9" t="inlineStr">
        <is>
          <t>%</t>
        </is>
      </c>
      <c r="G73" s="9">
        <f>IF(E73="","",IF("≥"="≥",IF(E73&gt;=95,"Met","Not Met"),IF(E73&lt;=95,"Met","Not Met")))</f>
        <v/>
      </c>
      <c r="H73" s="9" t="n"/>
      <c r="I73" s="9" t="n"/>
    </row>
    <row r="74">
      <c r="A74" s="9" t="n">
        <v>73</v>
      </c>
      <c r="B74" s="9" t="inlineStr">
        <is>
          <t>Jan-2026</t>
        </is>
      </c>
      <c r="C74" s="9" t="inlineStr">
        <is>
          <t>Proficiency Testing Score</t>
        </is>
      </c>
      <c r="D74" s="9" t="n">
        <v>80</v>
      </c>
      <c r="E74" s="9" t="n"/>
      <c r="F74" s="9" t="inlineStr">
        <is>
          <t>%</t>
        </is>
      </c>
      <c r="G74" s="9">
        <f>IF(E74="","",IF("≥"="≥",IF(E74&gt;=80,"Met","Not Met"),IF(E74&lt;=80,"Met","Not Met")))</f>
        <v/>
      </c>
      <c r="H74" s="9" t="n"/>
      <c r="I74" s="9" t="n"/>
    </row>
    <row r="75">
      <c r="A75" s="9" t="n">
        <v>74</v>
      </c>
      <c r="B75" s="9" t="inlineStr">
        <is>
          <t>Feb-2026</t>
        </is>
      </c>
      <c r="C75" s="9" t="inlineStr">
        <is>
          <t>Proficiency Testing Score</t>
        </is>
      </c>
      <c r="D75" s="9" t="n">
        <v>80</v>
      </c>
      <c r="E75" s="9" t="n"/>
      <c r="F75" s="9" t="inlineStr">
        <is>
          <t>%</t>
        </is>
      </c>
      <c r="G75" s="9">
        <f>IF(E75="","",IF("≥"="≥",IF(E75&gt;=80,"Met","Not Met"),IF(E75&lt;=80,"Met","Not Met")))</f>
        <v/>
      </c>
      <c r="H75" s="9" t="n"/>
      <c r="I75" s="9" t="n"/>
    </row>
    <row r="76">
      <c r="A76" s="9" t="n">
        <v>75</v>
      </c>
      <c r="B76" s="9" t="inlineStr">
        <is>
          <t>Mar-2026</t>
        </is>
      </c>
      <c r="C76" s="9" t="inlineStr">
        <is>
          <t>Proficiency Testing Score</t>
        </is>
      </c>
      <c r="D76" s="9" t="n">
        <v>80</v>
      </c>
      <c r="E76" s="9" t="n"/>
      <c r="F76" s="9" t="inlineStr">
        <is>
          <t>%</t>
        </is>
      </c>
      <c r="G76" s="9">
        <f>IF(E76="","",IF("≥"="≥",IF(E76&gt;=80,"Met","Not Met"),IF(E76&lt;=80,"Met","Not Met")))</f>
        <v/>
      </c>
      <c r="H76" s="9" t="n"/>
      <c r="I76" s="9" t="n"/>
    </row>
    <row r="77">
      <c r="A77" s="9" t="n">
        <v>76</v>
      </c>
      <c r="B77" s="9" t="inlineStr">
        <is>
          <t>Apr-2026</t>
        </is>
      </c>
      <c r="C77" s="9" t="inlineStr">
        <is>
          <t>Proficiency Testing Score</t>
        </is>
      </c>
      <c r="D77" s="9" t="n">
        <v>80</v>
      </c>
      <c r="E77" s="9" t="n"/>
      <c r="F77" s="9" t="inlineStr">
        <is>
          <t>%</t>
        </is>
      </c>
      <c r="G77" s="9">
        <f>IF(E77="","",IF("≥"="≥",IF(E77&gt;=80,"Met","Not Met"),IF(E77&lt;=80,"Met","Not Met")))</f>
        <v/>
      </c>
      <c r="H77" s="9" t="n"/>
      <c r="I77" s="9" t="n"/>
    </row>
    <row r="78">
      <c r="A78" s="9" t="n">
        <v>77</v>
      </c>
      <c r="B78" s="9" t="inlineStr">
        <is>
          <t>May-2026</t>
        </is>
      </c>
      <c r="C78" s="9" t="inlineStr">
        <is>
          <t>Proficiency Testing Score</t>
        </is>
      </c>
      <c r="D78" s="9" t="n">
        <v>80</v>
      </c>
      <c r="E78" s="9" t="n"/>
      <c r="F78" s="9" t="inlineStr">
        <is>
          <t>%</t>
        </is>
      </c>
      <c r="G78" s="9">
        <f>IF(E78="","",IF("≥"="≥",IF(E78&gt;=80,"Met","Not Met"),IF(E78&lt;=80,"Met","Not Met")))</f>
        <v/>
      </c>
      <c r="H78" s="9" t="n"/>
      <c r="I78" s="9" t="n"/>
    </row>
    <row r="79">
      <c r="A79" s="9" t="n">
        <v>78</v>
      </c>
      <c r="B79" s="9" t="inlineStr">
        <is>
          <t>Jun-2026</t>
        </is>
      </c>
      <c r="C79" s="9" t="inlineStr">
        <is>
          <t>Proficiency Testing Score</t>
        </is>
      </c>
      <c r="D79" s="9" t="n">
        <v>80</v>
      </c>
      <c r="E79" s="9" t="n"/>
      <c r="F79" s="9" t="inlineStr">
        <is>
          <t>%</t>
        </is>
      </c>
      <c r="G79" s="9">
        <f>IF(E79="","",IF("≥"="≥",IF(E79&gt;=80,"Met","Not Met"),IF(E79&lt;=80,"Met","Not Met")))</f>
        <v/>
      </c>
      <c r="H79" s="9" t="n"/>
      <c r="I79" s="9" t="n"/>
    </row>
    <row r="80">
      <c r="A80" s="9" t="n">
        <v>79</v>
      </c>
      <c r="B80" s="9" t="inlineStr">
        <is>
          <t>Jul-2026</t>
        </is>
      </c>
      <c r="C80" s="9" t="inlineStr">
        <is>
          <t>Proficiency Testing Score</t>
        </is>
      </c>
      <c r="D80" s="9" t="n">
        <v>80</v>
      </c>
      <c r="E80" s="9" t="n"/>
      <c r="F80" s="9" t="inlineStr">
        <is>
          <t>%</t>
        </is>
      </c>
      <c r="G80" s="9">
        <f>IF(E80="","",IF("≥"="≥",IF(E80&gt;=80,"Met","Not Met"),IF(E80&lt;=80,"Met","Not Met")))</f>
        <v/>
      </c>
      <c r="H80" s="9" t="n"/>
      <c r="I80" s="9" t="n"/>
    </row>
    <row r="81">
      <c r="A81" s="9" t="n">
        <v>80</v>
      </c>
      <c r="B81" s="9" t="inlineStr">
        <is>
          <t>Aug-2026</t>
        </is>
      </c>
      <c r="C81" s="9" t="inlineStr">
        <is>
          <t>Proficiency Testing Score</t>
        </is>
      </c>
      <c r="D81" s="9" t="n">
        <v>80</v>
      </c>
      <c r="E81" s="9" t="n"/>
      <c r="F81" s="9" t="inlineStr">
        <is>
          <t>%</t>
        </is>
      </c>
      <c r="G81" s="9">
        <f>IF(E81="","",IF("≥"="≥",IF(E81&gt;=80,"Met","Not Met"),IF(E81&lt;=80,"Met","Not Met")))</f>
        <v/>
      </c>
      <c r="H81" s="9" t="n"/>
      <c r="I81" s="9" t="n"/>
    </row>
    <row r="82">
      <c r="A82" s="9" t="n">
        <v>81</v>
      </c>
      <c r="B82" s="9" t="inlineStr">
        <is>
          <t>Sep-2026</t>
        </is>
      </c>
      <c r="C82" s="9" t="inlineStr">
        <is>
          <t>Proficiency Testing Score</t>
        </is>
      </c>
      <c r="D82" s="9" t="n">
        <v>80</v>
      </c>
      <c r="E82" s="9" t="n"/>
      <c r="F82" s="9" t="inlineStr">
        <is>
          <t>%</t>
        </is>
      </c>
      <c r="G82" s="9">
        <f>IF(E82="","",IF("≥"="≥",IF(E82&gt;=80,"Met","Not Met"),IF(E82&lt;=80,"Met","Not Met")))</f>
        <v/>
      </c>
      <c r="H82" s="9" t="n"/>
      <c r="I82" s="9" t="n"/>
    </row>
    <row r="83">
      <c r="A83" s="9" t="n">
        <v>82</v>
      </c>
      <c r="B83" s="9" t="inlineStr">
        <is>
          <t>Oct-2026</t>
        </is>
      </c>
      <c r="C83" s="9" t="inlineStr">
        <is>
          <t>Proficiency Testing Score</t>
        </is>
      </c>
      <c r="D83" s="9" t="n">
        <v>80</v>
      </c>
      <c r="E83" s="9" t="n"/>
      <c r="F83" s="9" t="inlineStr">
        <is>
          <t>%</t>
        </is>
      </c>
      <c r="G83" s="9">
        <f>IF(E83="","",IF("≥"="≥",IF(E83&gt;=80,"Met","Not Met"),IF(E83&lt;=80,"Met","Not Met")))</f>
        <v/>
      </c>
      <c r="H83" s="9" t="n"/>
      <c r="I83" s="9" t="n"/>
    </row>
    <row r="84">
      <c r="A84" s="9" t="n">
        <v>83</v>
      </c>
      <c r="B84" s="9" t="inlineStr">
        <is>
          <t>Nov-2026</t>
        </is>
      </c>
      <c r="C84" s="9" t="inlineStr">
        <is>
          <t>Proficiency Testing Score</t>
        </is>
      </c>
      <c r="D84" s="9" t="n">
        <v>80</v>
      </c>
      <c r="E84" s="9" t="n"/>
      <c r="F84" s="9" t="inlineStr">
        <is>
          <t>%</t>
        </is>
      </c>
      <c r="G84" s="9">
        <f>IF(E84="","",IF("≥"="≥",IF(E84&gt;=80,"Met","Not Met"),IF(E84&lt;=80,"Met","Not Met")))</f>
        <v/>
      </c>
      <c r="H84" s="9" t="n"/>
      <c r="I84" s="9" t="n"/>
    </row>
    <row r="85">
      <c r="A85" s="9" t="n">
        <v>84</v>
      </c>
      <c r="B85" s="9" t="inlineStr">
        <is>
          <t>Dec-2026</t>
        </is>
      </c>
      <c r="C85" s="9" t="inlineStr">
        <is>
          <t>Proficiency Testing Score</t>
        </is>
      </c>
      <c r="D85" s="9" t="n">
        <v>80</v>
      </c>
      <c r="E85" s="9" t="n"/>
      <c r="F85" s="9" t="inlineStr">
        <is>
          <t>%</t>
        </is>
      </c>
      <c r="G85" s="9">
        <f>IF(E85="","",IF("≥"="≥",IF(E85&gt;=80,"Met","Not Met"),IF(E85&lt;=80,"Met","Not Met")))</f>
        <v/>
      </c>
      <c r="H85" s="9" t="n"/>
      <c r="I85" s="9" t="n"/>
    </row>
    <row r="86">
      <c r="A86" s="9" t="n">
        <v>85</v>
      </c>
      <c r="B86" s="9" t="inlineStr">
        <is>
          <t>Jan-2026</t>
        </is>
      </c>
      <c r="C86" s="9" t="inlineStr">
        <is>
          <t>Repeat Test Rate</t>
        </is>
      </c>
      <c r="D86" s="9" t="n">
        <v>5</v>
      </c>
      <c r="E86" s="9" t="n"/>
      <c r="F86" s="9" t="inlineStr">
        <is>
          <t>%</t>
        </is>
      </c>
      <c r="G86" s="9">
        <f>IF(E86="","",IF("≤"="≥",IF(E86&gt;=5,"Met","Not Met"),IF(E86&lt;=5,"Met","Not Met")))</f>
        <v/>
      </c>
      <c r="H86" s="9" t="n"/>
      <c r="I86" s="9" t="n"/>
    </row>
    <row r="87">
      <c r="A87" s="9" t="n">
        <v>86</v>
      </c>
      <c r="B87" s="9" t="inlineStr">
        <is>
          <t>Feb-2026</t>
        </is>
      </c>
      <c r="C87" s="9" t="inlineStr">
        <is>
          <t>Repeat Test Rate</t>
        </is>
      </c>
      <c r="D87" s="9" t="n">
        <v>5</v>
      </c>
      <c r="E87" s="9" t="n"/>
      <c r="F87" s="9" t="inlineStr">
        <is>
          <t>%</t>
        </is>
      </c>
      <c r="G87" s="9">
        <f>IF(E87="","",IF("≤"="≥",IF(E87&gt;=5,"Met","Not Met"),IF(E87&lt;=5,"Met","Not Met")))</f>
        <v/>
      </c>
      <c r="H87" s="9" t="n"/>
      <c r="I87" s="9" t="n"/>
    </row>
    <row r="88">
      <c r="A88" s="9" t="n">
        <v>87</v>
      </c>
      <c r="B88" s="9" t="inlineStr">
        <is>
          <t>Mar-2026</t>
        </is>
      </c>
      <c r="C88" s="9" t="inlineStr">
        <is>
          <t>Repeat Test Rate</t>
        </is>
      </c>
      <c r="D88" s="9" t="n">
        <v>5</v>
      </c>
      <c r="E88" s="9" t="n"/>
      <c r="F88" s="9" t="inlineStr">
        <is>
          <t>%</t>
        </is>
      </c>
      <c r="G88" s="9">
        <f>IF(E88="","",IF("≤"="≥",IF(E88&gt;=5,"Met","Not Met"),IF(E88&lt;=5,"Met","Not Met")))</f>
        <v/>
      </c>
      <c r="H88" s="9" t="n"/>
      <c r="I88" s="9" t="n"/>
    </row>
    <row r="89">
      <c r="A89" s="9" t="n">
        <v>88</v>
      </c>
      <c r="B89" s="9" t="inlineStr">
        <is>
          <t>Apr-2026</t>
        </is>
      </c>
      <c r="C89" s="9" t="inlineStr">
        <is>
          <t>Repeat Test Rate</t>
        </is>
      </c>
      <c r="D89" s="9" t="n">
        <v>5</v>
      </c>
      <c r="E89" s="9" t="n"/>
      <c r="F89" s="9" t="inlineStr">
        <is>
          <t>%</t>
        </is>
      </c>
      <c r="G89" s="9">
        <f>IF(E89="","",IF("≤"="≥",IF(E89&gt;=5,"Met","Not Met"),IF(E89&lt;=5,"Met","Not Met")))</f>
        <v/>
      </c>
      <c r="H89" s="9" t="n"/>
      <c r="I89" s="9" t="n"/>
    </row>
    <row r="90">
      <c r="A90" s="9" t="n">
        <v>89</v>
      </c>
      <c r="B90" s="9" t="inlineStr">
        <is>
          <t>May-2026</t>
        </is>
      </c>
      <c r="C90" s="9" t="inlineStr">
        <is>
          <t>Repeat Test Rate</t>
        </is>
      </c>
      <c r="D90" s="9" t="n">
        <v>5</v>
      </c>
      <c r="E90" s="9" t="n"/>
      <c r="F90" s="9" t="inlineStr">
        <is>
          <t>%</t>
        </is>
      </c>
      <c r="G90" s="9">
        <f>IF(E90="","",IF("≤"="≥",IF(E90&gt;=5,"Met","Not Met"),IF(E90&lt;=5,"Met","Not Met")))</f>
        <v/>
      </c>
      <c r="H90" s="9" t="n"/>
      <c r="I90" s="9" t="n"/>
    </row>
    <row r="91">
      <c r="A91" s="9" t="n">
        <v>90</v>
      </c>
      <c r="B91" s="9" t="inlineStr">
        <is>
          <t>Jun-2026</t>
        </is>
      </c>
      <c r="C91" s="9" t="inlineStr">
        <is>
          <t>Repeat Test Rate</t>
        </is>
      </c>
      <c r="D91" s="9" t="n">
        <v>5</v>
      </c>
      <c r="E91" s="9" t="n"/>
      <c r="F91" s="9" t="inlineStr">
        <is>
          <t>%</t>
        </is>
      </c>
      <c r="G91" s="9">
        <f>IF(E91="","",IF("≤"="≥",IF(E91&gt;=5,"Met","Not Met"),IF(E91&lt;=5,"Met","Not Met")))</f>
        <v/>
      </c>
      <c r="H91" s="9" t="n"/>
      <c r="I91" s="9" t="n"/>
    </row>
    <row r="92">
      <c r="A92" s="9" t="n">
        <v>91</v>
      </c>
      <c r="B92" s="9" t="inlineStr">
        <is>
          <t>Jul-2026</t>
        </is>
      </c>
      <c r="C92" s="9" t="inlineStr">
        <is>
          <t>Repeat Test Rate</t>
        </is>
      </c>
      <c r="D92" s="9" t="n">
        <v>5</v>
      </c>
      <c r="E92" s="9" t="n"/>
      <c r="F92" s="9" t="inlineStr">
        <is>
          <t>%</t>
        </is>
      </c>
      <c r="G92" s="9">
        <f>IF(E92="","",IF("≤"="≥",IF(E92&gt;=5,"Met","Not Met"),IF(E92&lt;=5,"Met","Not Met")))</f>
        <v/>
      </c>
      <c r="H92" s="9" t="n"/>
      <c r="I92" s="9" t="n"/>
    </row>
    <row r="93">
      <c r="A93" s="9" t="n">
        <v>92</v>
      </c>
      <c r="B93" s="9" t="inlineStr">
        <is>
          <t>Aug-2026</t>
        </is>
      </c>
      <c r="C93" s="9" t="inlineStr">
        <is>
          <t>Repeat Test Rate</t>
        </is>
      </c>
      <c r="D93" s="9" t="n">
        <v>5</v>
      </c>
      <c r="E93" s="9" t="n"/>
      <c r="F93" s="9" t="inlineStr">
        <is>
          <t>%</t>
        </is>
      </c>
      <c r="G93" s="9">
        <f>IF(E93="","",IF("≤"="≥",IF(E93&gt;=5,"Met","Not Met"),IF(E93&lt;=5,"Met","Not Met")))</f>
        <v/>
      </c>
      <c r="H93" s="9" t="n"/>
      <c r="I93" s="9" t="n"/>
    </row>
    <row r="94">
      <c r="A94" s="9" t="n">
        <v>93</v>
      </c>
      <c r="B94" s="9" t="inlineStr">
        <is>
          <t>Sep-2026</t>
        </is>
      </c>
      <c r="C94" s="9" t="inlineStr">
        <is>
          <t>Repeat Test Rate</t>
        </is>
      </c>
      <c r="D94" s="9" t="n">
        <v>5</v>
      </c>
      <c r="E94" s="9" t="n"/>
      <c r="F94" s="9" t="inlineStr">
        <is>
          <t>%</t>
        </is>
      </c>
      <c r="G94" s="9">
        <f>IF(E94="","",IF("≤"="≥",IF(E94&gt;=5,"Met","Not Met"),IF(E94&lt;=5,"Met","Not Met")))</f>
        <v/>
      </c>
      <c r="H94" s="9" t="n"/>
      <c r="I94" s="9" t="n"/>
    </row>
    <row r="95">
      <c r="A95" s="9" t="n">
        <v>94</v>
      </c>
      <c r="B95" s="9" t="inlineStr">
        <is>
          <t>Oct-2026</t>
        </is>
      </c>
      <c r="C95" s="9" t="inlineStr">
        <is>
          <t>Repeat Test Rate</t>
        </is>
      </c>
      <c r="D95" s="9" t="n">
        <v>5</v>
      </c>
      <c r="E95" s="9" t="n"/>
      <c r="F95" s="9" t="inlineStr">
        <is>
          <t>%</t>
        </is>
      </c>
      <c r="G95" s="9">
        <f>IF(E95="","",IF("≤"="≥",IF(E95&gt;=5,"Met","Not Met"),IF(E95&lt;=5,"Met","Not Met")))</f>
        <v/>
      </c>
      <c r="H95" s="9" t="n"/>
      <c r="I95" s="9" t="n"/>
    </row>
    <row r="96">
      <c r="A96" s="9" t="n">
        <v>95</v>
      </c>
      <c r="B96" s="9" t="inlineStr">
        <is>
          <t>Nov-2026</t>
        </is>
      </c>
      <c r="C96" s="9" t="inlineStr">
        <is>
          <t>Repeat Test Rate</t>
        </is>
      </c>
      <c r="D96" s="9" t="n">
        <v>5</v>
      </c>
      <c r="E96" s="9" t="n"/>
      <c r="F96" s="9" t="inlineStr">
        <is>
          <t>%</t>
        </is>
      </c>
      <c r="G96" s="9">
        <f>IF(E96="","",IF("≤"="≥",IF(E96&gt;=5,"Met","Not Met"),IF(E96&lt;=5,"Met","Not Met")))</f>
        <v/>
      </c>
      <c r="H96" s="9" t="n"/>
      <c r="I96" s="9" t="n"/>
    </row>
    <row r="97">
      <c r="A97" s="9" t="n">
        <v>96</v>
      </c>
      <c r="B97" s="9" t="inlineStr">
        <is>
          <t>Dec-2026</t>
        </is>
      </c>
      <c r="C97" s="9" t="inlineStr">
        <is>
          <t>Repeat Test Rate</t>
        </is>
      </c>
      <c r="D97" s="9" t="n">
        <v>5</v>
      </c>
      <c r="E97" s="9" t="n"/>
      <c r="F97" s="9" t="inlineStr">
        <is>
          <t>%</t>
        </is>
      </c>
      <c r="G97" s="9">
        <f>IF(E97="","",IF("≤"="≥",IF(E97&gt;=5,"Met","Not Met"),IF(E97&lt;=5,"Met","Not Met")))</f>
        <v/>
      </c>
      <c r="H97" s="9" t="n"/>
      <c r="I97" s="9" t="n"/>
    </row>
  </sheetData>
  <autoFilter ref="A1:I97"/>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showDropDown="0" showInputMessage="0" showErrorMessage="0" allowBlank="1" type="list">
      <formula1>"Met,Not Met,N/A"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F12"/>
  <sheetViews>
    <sheetView showGridLines="0" workbookViewId="0">
      <selection activeCell="A1" sqref="A1"/>
    </sheetView>
  </sheetViews>
  <sheetFormatPr baseColWidth="8" defaultRowHeight="15"/>
  <cols>
    <col width="35" customWidth="1" min="2" max="2"/>
    <col width="12" customWidth="1" min="3" max="3"/>
    <col width="12" customWidth="1" min="4" max="4"/>
    <col width="12" customWidth="1" min="5" max="5"/>
    <col width="15" customWidth="1" min="6" max="6"/>
  </cols>
  <sheetData>
    <row r="2">
      <c r="B2" s="10" t="inlineStr">
        <is>
          <t>Quality Indicator Dashboard</t>
        </is>
      </c>
    </row>
    <row r="4">
      <c r="A4" s="8" t="inlineStr"/>
      <c r="B4" s="8" t="inlineStr">
        <is>
          <t>Indicator</t>
        </is>
      </c>
      <c r="C4" s="8" t="inlineStr">
        <is>
          <t>Target</t>
        </is>
      </c>
      <c r="D4" s="8" t="inlineStr">
        <is>
          <t>Latest Actual</t>
        </is>
      </c>
      <c r="E4" s="8" t="inlineStr">
        <is>
          <t>Status</t>
        </is>
      </c>
      <c r="F4" s="8" t="inlineStr">
        <is>
          <t>% Met (YTD)</t>
        </is>
      </c>
    </row>
    <row r="5">
      <c r="A5" s="9" t="n"/>
      <c r="B5" s="9" t="inlineStr">
        <is>
          <t>Turnaround Time - Routine (hours)</t>
        </is>
      </c>
      <c r="C5" s="9" t="n">
        <v>4</v>
      </c>
      <c r="D5" s="9">
        <f>IFERROR(LOOKUP(2,1/('KPI Data'!E2:E13&lt;&gt;),'KPI Data'!E{data_start}:E{data_end}),"")</f>
        <v/>
      </c>
      <c r="E5" s="9">
        <f>IF(D5="","",IF("≤"="≥",IF(D5&gt;=4,"Met","Not Met"),IF(D5&lt;=4,"Met","Not Met")))</f>
        <v/>
      </c>
      <c r="F5" s="9">
        <f>IFERROR(COUNTIF('KPI Data'!G2:G13,"Met")/MAX(1,COUNTA('KPI Data'!G2:G13)),0)</f>
        <v/>
      </c>
    </row>
    <row r="6">
      <c r="A6" s="9" t="n"/>
      <c r="B6" s="9" t="inlineStr">
        <is>
          <t>Turnaround Time - STAT (hours)</t>
        </is>
      </c>
      <c r="C6" s="9" t="n">
        <v>2</v>
      </c>
      <c r="D6" s="9">
        <f>IFERROR(LOOKUP(2,1/('KPI Data'!E14:E25&lt;&gt;),'KPI Data'!E{data_start}:E{data_end}),"")</f>
        <v/>
      </c>
      <c r="E6" s="9">
        <f>IF(D6="","",IF("≤"="≥",IF(D6&gt;=2,"Met","Not Met"),IF(D6&lt;=2,"Met","Not Met")))</f>
        <v/>
      </c>
      <c r="F6" s="9">
        <f>IFERROR(COUNTIF('KPI Data'!G14:G25,"Met")/MAX(1,COUNTA('KPI Data'!G14:G25)),0)</f>
        <v/>
      </c>
    </row>
    <row r="7">
      <c r="A7" s="9" t="n"/>
      <c r="B7" s="9" t="inlineStr">
        <is>
          <t>Sample Rejection Rate (%)</t>
        </is>
      </c>
      <c r="C7" s="9" t="n">
        <v>2</v>
      </c>
      <c r="D7" s="9">
        <f>IFERROR(LOOKUP(2,1/('KPI Data'!E26:E37&lt;&gt;),'KPI Data'!E{data_start}:E{data_end}),"")</f>
        <v/>
      </c>
      <c r="E7" s="9">
        <f>IF(D7="","",IF("≤"="≥",IF(D7&gt;=2,"Met","Not Met"),IF(D7&lt;=2,"Met","Not Met")))</f>
        <v/>
      </c>
      <c r="F7" s="9">
        <f>IFERROR(COUNTIF('KPI Data'!G26:G37,"Met")/MAX(1,COUNTA('KPI Data'!G26:G37)),0)</f>
        <v/>
      </c>
    </row>
    <row r="8">
      <c r="A8" s="9" t="n"/>
      <c r="B8" s="9" t="inlineStr">
        <is>
          <t>Critical Value Reporting Time (minutes)</t>
        </is>
      </c>
      <c r="C8" s="9" t="n">
        <v>30</v>
      </c>
      <c r="D8" s="9">
        <f>IFERROR(LOOKUP(2,1/('KPI Data'!E38:E49&lt;&gt;),'KPI Data'!E{data_start}:E{data_end}),"")</f>
        <v/>
      </c>
      <c r="E8" s="9">
        <f>IF(D8="","",IF("≤"="≥",IF(D8&gt;=30,"Met","Not Met"),IF(D8&lt;=30,"Met","Not Met")))</f>
        <v/>
      </c>
      <c r="F8" s="9">
        <f>IFERROR(COUNTIF('KPI Data'!G38:G49,"Met")/MAX(1,COUNTA('KPI Data'!G38:G49)),0)</f>
        <v/>
      </c>
    </row>
    <row r="9">
      <c r="A9" s="9" t="n"/>
      <c r="B9" s="9" t="inlineStr">
        <is>
          <t>CAPA Closure Rate (30 days) (%)</t>
        </is>
      </c>
      <c r="C9" s="9" t="n">
        <v>90</v>
      </c>
      <c r="D9" s="9">
        <f>IFERROR(LOOKUP(2,1/('KPI Data'!E50:E61&lt;&gt;),'KPI Data'!E{data_start}:E{data_end}),"")</f>
        <v/>
      </c>
      <c r="E9" s="9">
        <f>IF(D9="","",IF("≥"="≥",IF(D9&gt;=90,"Met","Not Met"),IF(D9&lt;=90,"Met","Not Met")))</f>
        <v/>
      </c>
      <c r="F9" s="9">
        <f>IFERROR(COUNTIF('KPI Data'!G50:G61,"Met")/MAX(1,COUNTA('KPI Data'!G50:G61)),0)</f>
        <v/>
      </c>
    </row>
    <row r="10">
      <c r="A10" s="9" t="n"/>
      <c r="B10" s="9" t="inlineStr">
        <is>
          <t>QC Pass Rate (%)</t>
        </is>
      </c>
      <c r="C10" s="9" t="n">
        <v>95</v>
      </c>
      <c r="D10" s="9">
        <f>IFERROR(LOOKUP(2,1/('KPI Data'!E62:E73&lt;&gt;),'KPI Data'!E{data_start}:E{data_end}),"")</f>
        <v/>
      </c>
      <c r="E10" s="9">
        <f>IF(D10="","",IF("≥"="≥",IF(D10&gt;=95,"Met","Not Met"),IF(D10&lt;=95,"Met","Not Met")))</f>
        <v/>
      </c>
      <c r="F10" s="9">
        <f>IFERROR(COUNTIF('KPI Data'!G62:G73,"Met")/MAX(1,COUNTA('KPI Data'!G62:G73)),0)</f>
        <v/>
      </c>
    </row>
    <row r="11">
      <c r="A11" s="9" t="n"/>
      <c r="B11" s="9" t="inlineStr">
        <is>
          <t>Proficiency Testing Score (%)</t>
        </is>
      </c>
      <c r="C11" s="9" t="n">
        <v>80</v>
      </c>
      <c r="D11" s="9">
        <f>IFERROR(LOOKUP(2,1/('KPI Data'!E74:E85&lt;&gt;),'KPI Data'!E{data_start}:E{data_end}),"")</f>
        <v/>
      </c>
      <c r="E11" s="9">
        <f>IF(D11="","",IF("≥"="≥",IF(D11&gt;=80,"Met","Not Met"),IF(D11&lt;=80,"Met","Not Met")))</f>
        <v/>
      </c>
      <c r="F11" s="9">
        <f>IFERROR(COUNTIF('KPI Data'!G74:G85,"Met")/MAX(1,COUNTA('KPI Data'!G74:G85)),0)</f>
        <v/>
      </c>
    </row>
    <row r="12">
      <c r="A12" s="9" t="n"/>
      <c r="B12" s="9" t="inlineStr">
        <is>
          <t>Repeat Test Rate (%)</t>
        </is>
      </c>
      <c r="C12" s="9" t="n">
        <v>5</v>
      </c>
      <c r="D12" s="9">
        <f>IFERROR(LOOKUP(2,1/('KPI Data'!E86:E97&lt;&gt;),'KPI Data'!E{data_start}:E{data_end}),"")</f>
        <v/>
      </c>
      <c r="E12" s="9">
        <f>IF(D12="","",IF("≤"="≥",IF(D12&gt;=5,"Met","Not Met"),IF(D12&lt;=5,"Met","Not Met")))</f>
        <v/>
      </c>
      <c r="F12" s="9">
        <f>IFERROR(COUNTIF('KPI Data'!G86:G97,"Met")/MAX(1,COUNTA('KPI Data'!G86:G97)),0)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2026-10-07T14:35:07Z</dcterms:created>
  <dcterms:modified xmlns:dcterms="http://purl.org/dc/terms/" xmlns:xsi="http://www.w3.org/2001/XMLSchema-instance" xsi:type="dcterms:W3CDTF">2026-10-07T14:35:15Z</dcterms:modified>
</cp:coreProperties>
</file>