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hart2.xml" ContentType="application/vnd.openxmlformats-officedocument.drawingml.chart+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ettings" sheetId="2" state="hidden" r:id="rId4"/>
    <sheet name="Staff Information" sheetId="3" state="visible" r:id="rId5"/>
    <sheet name="Assessment Checklist" sheetId="4" state="visible" r:id="rId6"/>
    <sheet name="Dashboard" sheetId="5" state="visible" r:id="rId7"/>
  </sheets>
  <definedNames>
    <definedName function="false" hidden="true" localSheetId="3" name="_xlnm._FilterDatabase" vbProcedure="false">'Assessment Checklist'!$A$1:$J$20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<sst xmlns="http://schemas.openxmlformats.org/spreadsheetml/2006/main" count="148" uniqueCount="94">
  <si>
    <t xml:space="preserve">Competency Assessment Form</t>
  </si>
  <si>
    <t xml:space="preserve">AHQS — Accelerate Healthcare Quality Solutions</t>
  </si>
  <si>
    <t xml:space="preserve">A comprehensive staff competency evaluation tool with staff information, multi-method assessment matrix, competency gap analysis, and a coverage dashboard with charts.</t>
  </si>
  <si>
    <t xml:space="preserve">Key Features</t>
  </si>
  <si>
    <t xml:space="preserve">  •  Multi-method assessment (observation, records review, written test, oral exam)</t>
  </si>
  <si>
    <t xml:space="preserve">  •  18 competency criteria across 6 domains</t>
  </si>
  <si>
    <t xml:space="preserve">  •  Competency gap analysis with action plans</t>
  </si>
  <si>
    <t xml:space="preserve">  •  Staff coverage matrix</t>
  </si>
  <si>
    <t xml:space="preserve">  •  Renewal due date tracking</t>
  </si>
  <si>
    <t xml:space="preserve">  •  Dashboard with competency rates and charts</t>
  </si>
  <si>
    <t xml:space="preserve">How to Use</t>
  </si>
  <si>
    <t xml:space="preserve">1.  Start with the Data Entry sheet — fill in yellow-shaded input cells only</t>
  </si>
  <si>
    <t xml:space="preserve">2.  Blue-shaded cells contain formulas — do not overwrite them</t>
  </si>
  <si>
    <t xml:space="preserve">3.  Use dropdown menus for standardized entries</t>
  </si>
  <si>
    <t xml:space="preserve">4.  Check the Dashboard sheet for auto-calculated metrics and charts</t>
  </si>
  <si>
    <t xml:space="preserve">5.  Save a copy for each audit cycle or reporting period</t>
  </si>
  <si>
    <t xml:space="preserve">6.  This tool is free to use for internal quality improvement</t>
  </si>
  <si>
    <t xml:space="preserve">Disclaimer &amp; License</t>
  </si>
  <si>
    <t xml:space="preserve">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</si>
  <si>
    <t xml:space="preserve">Tool ID: AHQS-COMP-002  |  Version: 2.0  |  Created: October 2026  |  AHQS Healthcare Quality Solutions</t>
  </si>
  <si>
    <t xml:space="preserve">Results</t>
  </si>
  <si>
    <t xml:space="preserve">Methods</t>
  </si>
  <si>
    <t xml:space="preserve">Domains</t>
  </si>
  <si>
    <t xml:space="preserve">Assessment_Type</t>
  </si>
  <si>
    <t xml:space="preserve">Competent</t>
  </si>
  <si>
    <t xml:space="preserve">Direct Observation</t>
  </si>
  <si>
    <t xml:space="preserve">Technical Skills</t>
  </si>
  <si>
    <t xml:space="preserve">Initial</t>
  </si>
  <si>
    <t xml:space="preserve">Needs Improvement</t>
  </si>
  <si>
    <t xml:space="preserve">Records Review</t>
  </si>
  <si>
    <t xml:space="preserve">Quality Management</t>
  </si>
  <si>
    <t xml:space="preserve">6-Month</t>
  </si>
  <si>
    <t xml:space="preserve">Not Competent</t>
  </si>
  <si>
    <t xml:space="preserve">Written Test</t>
  </si>
  <si>
    <t xml:space="preserve">Safety</t>
  </si>
  <si>
    <t xml:space="preserve">Annual</t>
  </si>
  <si>
    <t xml:space="preserve">N/A</t>
  </si>
  <si>
    <t xml:space="preserve">Oral Exam</t>
  </si>
  <si>
    <t xml:space="preserve">Communication</t>
  </si>
  <si>
    <t xml:space="preserve">Re-assessment</t>
  </si>
  <si>
    <t xml:space="preserve">Performance Monitoring</t>
  </si>
  <si>
    <t xml:space="preserve">Knowledge</t>
  </si>
  <si>
    <t xml:space="preserve">Professional Development</t>
  </si>
  <si>
    <t xml:space="preserve">Staff Competency Assessment</t>
  </si>
  <si>
    <t xml:space="preserve">Staff Name</t>
  </si>
  <si>
    <t xml:space="preserve">Position / Title</t>
  </si>
  <si>
    <t xml:space="preserve">Department / Section</t>
  </si>
  <si>
    <t xml:space="preserve">Employee ID</t>
  </si>
  <si>
    <t xml:space="preserve">Date of Assessment</t>
  </si>
  <si>
    <t xml:space="preserve">Assessment Type</t>
  </si>
  <si>
    <t xml:space="preserve">Initial / 6-Month / Annual</t>
  </si>
  <si>
    <t xml:space="preserve">Assessor Name</t>
  </si>
  <si>
    <t xml:space="preserve">Assessor Title</t>
  </si>
  <si>
    <t xml:space="preserve">Next Assessment Due</t>
  </si>
  <si>
    <t xml:space="preserve">#</t>
  </si>
  <si>
    <t xml:space="preserve">Domain</t>
  </si>
  <si>
    <t xml:space="preserve">Assessment Method</t>
  </si>
  <si>
    <t xml:space="preserve">Criteria</t>
  </si>
  <si>
    <t xml:space="preserve">Result</t>
  </si>
  <si>
    <t xml:space="preserve">Score</t>
  </si>
  <si>
    <t xml:space="preserve">Comments</t>
  </si>
  <si>
    <t xml:space="preserve">Date Assessed</t>
  </si>
  <si>
    <t xml:space="preserve">Assessor</t>
  </si>
  <si>
    <t xml:space="preserve">Action Required</t>
  </si>
  <si>
    <t xml:space="preserve">Performs test procedures accurately following SOP</t>
  </si>
  <si>
    <t xml:space="preserve">Operates equipment correctly and safely</t>
  </si>
  <si>
    <t xml:space="preserve">Documents results accurately and completely</t>
  </si>
  <si>
    <t xml:space="preserve">Performs QC and interprets results correctly</t>
  </si>
  <si>
    <t xml:space="preserve">Troubleshoots instrument issues effectively</t>
  </si>
  <si>
    <t xml:space="preserve">Follows CAPA procedures when issues are identified</t>
  </si>
  <si>
    <t xml:space="preserve">Maintains chain of custody for samples</t>
  </si>
  <si>
    <t xml:space="preserve">Completes required documentation within timelines</t>
  </si>
  <si>
    <t xml:space="preserve">Uses appropriate PPE consistently</t>
  </si>
  <si>
    <t xml:space="preserve">Follows chemical and biohazard safety protocols</t>
  </si>
  <si>
    <t xml:space="preserve">Reports incidents and near-misses promptly</t>
  </si>
  <si>
    <t xml:space="preserve">Communicates critical values per policy</t>
  </si>
  <si>
    <t xml:space="preserve">Interacts professionally with patients and staff</t>
  </si>
  <si>
    <t xml:space="preserve">Demonstrates knowledge of relevant quality standards</t>
  </si>
  <si>
    <t xml:space="preserve">Understands emergency procedures and responses</t>
  </si>
  <si>
    <t xml:space="preserve">Understands laboratory information system functionality</t>
  </si>
  <si>
    <t xml:space="preserve">Completes required continuing education</t>
  </si>
  <si>
    <t xml:space="preserve">Participates in proficiency testing program</t>
  </si>
  <si>
    <t xml:space="preserve">Maintains professional conduct and appearance</t>
  </si>
  <si>
    <t xml:space="preserve">Competency Assessment Dashboard</t>
  </si>
  <si>
    <t xml:space="preserve">Total Criteria</t>
  </si>
  <si>
    <t xml:space="preserve">Overall %</t>
  </si>
  <si>
    <t xml:space="preserve">Competency by Domain</t>
  </si>
  <si>
    <t xml:space="preserve">Total</t>
  </si>
  <si>
    <t xml:space="preserve">Needs Imp.</t>
  </si>
  <si>
    <t xml:space="preserve">Not Comp.</t>
  </si>
  <si>
    <t xml:space="preserve">% Comp.</t>
  </si>
  <si>
    <t xml:space="preserve">Result Distribution</t>
  </si>
  <si>
    <t xml:space="preserve">Count</t>
  </si>
  <si>
    <t xml:space="preserve">Percentage</t>
  </si>
</sst>
</file>

<file path=xl/styles.xml><?xml version="1.0" encoding="utf-8"?>
<styleSheet xmlns="http://schemas.openxmlformats.org/spreadsheetml/2006/main">
  <numFmts count="1">
    <numFmt numFmtId="164" formatCode="General"/>
  </numFmts>
  <fonts count="20">
    <font>
      <sz val="11"/>
      <color theme="1"/>
      <name val="Calibri"/>
      <family val="2"/>
      <charset val="1"/>
    </font>
    <font>
      <sz val="10"/>
      <name val="Arial"/>
      <family val="0"/>
    </font>
    <font>
      <sz val="10"/>
      <name val="Arial"/>
      <family val="0"/>
    </font>
    <font>
      <sz val="10"/>
      <name val="Arial"/>
      <family val="0"/>
    </font>
    <font>
      <b val="true"/>
      <sz val="22"/>
      <color rgb="FF071F3B"/>
      <name val="Calibri"/>
      <family val="0"/>
      <charset val="1"/>
    </font>
    <font>
      <i val="true"/>
      <sz val="11"/>
      <color rgb="FF087F83"/>
      <name val="Calibri"/>
      <family val="0"/>
      <charset val="1"/>
    </font>
    <font>
      <sz val="11"/>
      <color rgb="FF667789"/>
      <name val="Calibri"/>
      <family val="0"/>
      <charset val="1"/>
    </font>
    <font>
      <b val="true"/>
      <sz val="13"/>
      <color rgb="FF071F3B"/>
      <name val="Calibri"/>
      <family val="0"/>
      <charset val="1"/>
    </font>
    <font>
      <sz val="10"/>
      <color rgb="FF173047"/>
      <name val="Calibri"/>
      <family val="0"/>
      <charset val="1"/>
    </font>
    <font>
      <i val="true"/>
      <sz val="9"/>
      <color rgb="FF667789"/>
      <name val="Calibri"/>
      <family val="0"/>
      <charset val="1"/>
    </font>
    <font>
      <sz val="9"/>
      <color rgb="FF667789"/>
      <name val="Calibri"/>
      <family val="0"/>
      <charset val="1"/>
    </font>
    <font>
      <b val="true"/>
      <sz val="11"/>
      <color rgb="FFFFFFFF"/>
      <name val="Calibri"/>
      <family val="0"/>
      <charset val="1"/>
    </font>
    <font>
      <b val="true"/>
      <sz val="18"/>
      <color rgb="FF071F3B"/>
      <name val="Calibri"/>
      <family val="0"/>
      <charset val="1"/>
    </font>
    <font>
      <i val="true"/>
      <sz val="11"/>
      <color rgb="FF667789"/>
      <name val="Calibri"/>
      <family val="0"/>
      <charset val="1"/>
    </font>
    <font>
      <b val="true"/>
      <sz val="10"/>
      <color rgb="FF173047"/>
      <name val="Calibri"/>
      <family val="0"/>
      <charset val="1"/>
    </font>
    <font>
      <b val="true"/>
      <sz val="9"/>
      <color rgb="FFD4E2EB"/>
      <name val="Calibri"/>
      <family val="0"/>
      <charset val="1"/>
    </font>
    <font>
      <b val="true"/>
      <sz val="22"/>
      <color rgb="FFF0CB67"/>
      <name val="Calibri"/>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071F3B"/>
        <bgColor rgb="FF173047"/>
      </patternFill>
    </fill>
    <fill>
      <patternFill patternType="solid">
        <fgColor rgb="FFF5F8FA"/>
        <bgColor rgb="FFEAF7F7"/>
      </patternFill>
    </fill>
    <fill>
      <patternFill patternType="solid">
        <fgColor rgb="FF087F83"/>
        <bgColor rgb="FF008080"/>
      </patternFill>
    </fill>
    <fill>
      <patternFill patternType="solid">
        <fgColor rgb="FFEAF7F7"/>
        <bgColor rgb="FFF5F8FA"/>
      </patternFill>
    </fill>
  </fills>
  <borders count="3">
    <border diagonalUp="false" diagonalDown="false">
      <left/>
      <right/>
      <top/>
      <bottom/>
      <diagonal/>
    </border>
    <border diagonalUp="false" diagonalDown="false">
      <left/>
      <right/>
      <top/>
      <bottom style="medium">
        <color rgb="FFD8A72B"/>
      </bottom>
      <diagonal/>
    </border>
    <border diagonalUp="false" diagonalDown="false">
      <left style="thin">
        <color rgb="FFDCE6EB"/>
      </left>
      <right style="thin">
        <color rgb="FFDCE6EB"/>
      </right>
      <top style="thin">
        <color rgb="FFDCE6EB"/>
      </top>
      <bottom style="thin">
        <color rgb="FFDCE6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center" vertical="center" textRotation="0" wrapText="false" indent="0" shrinkToFit="false"/>
      <protection locked="true" hidden="false"/>
    </xf>
    <xf numFmtId="164" fontId="11" fillId="2" borderId="2" xfId="0" applyFont="true" applyBorder="true" applyAlignment="true" applyProtection="false">
      <alignment horizontal="left" vertical="center" textRotation="0" wrapText="false" indent="1" shrinkToFit="false"/>
      <protection locked="true" hidden="false"/>
    </xf>
    <xf numFmtId="164" fontId="13" fillId="3" borderId="2" xfId="0" applyFont="true" applyBorder="true" applyAlignment="true" applyProtection="false">
      <alignment horizontal="general" vertical="center" textRotation="0" wrapText="false" indent="0" shrinkToFit="false"/>
      <protection locked="true" hidden="false"/>
    </xf>
    <xf numFmtId="164" fontId="11" fillId="4"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14" fillId="5" borderId="2" xfId="0" applyFont="true" applyBorder="true" applyAlignment="true" applyProtection="false">
      <alignment horizontal="center" vertical="center" textRotation="0" wrapText="true" indent="0" shrinkToFit="false"/>
      <protection locked="true" hidden="false"/>
    </xf>
    <xf numFmtId="164" fontId="15" fillId="2" borderId="0" xfId="0" applyFont="true" applyBorder="true" applyAlignment="true" applyProtection="false">
      <alignment horizontal="center" vertical="center" textRotation="0" wrapText="false" indent="0" shrinkToFit="false"/>
      <protection locked="true" hidden="false"/>
    </xf>
    <xf numFmtId="164" fontId="16" fillId="2"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EAF7F7"/>
          <bgColor rgb="FF000000"/>
        </patternFill>
      </fill>
    </dxf>
    <dxf>
      <fill>
        <patternFill>
          <bgColor rgb="FFC3F6C3"/>
        </patternFill>
      </fill>
    </dxf>
    <dxf>
      <fill>
        <patternFill>
          <bgColor rgb="FFFFE066"/>
        </patternFill>
      </fill>
    </dxf>
    <dxf>
      <font>
        <b val="1"/>
        <color rgb="FFFFFFFF"/>
      </font>
      <fill>
        <patternFill>
          <bgColor rgb="FFFF6B6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D4E2EB"/>
      <rgbColor rgb="FF878787"/>
      <rgbColor rgb="FF9999FF"/>
      <rgbColor rgb="FFC0504D"/>
      <rgbColor rgb="FFF5F8FA"/>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C3F6C3"/>
      <rgbColor rgb="FFFFE066"/>
      <rgbColor rgb="FF99CCFF"/>
      <rgbColor rgb="FFFF99CC"/>
      <rgbColor rgb="FFCC99FF"/>
      <rgbColor rgb="FFF0CB67"/>
      <rgbColor rgb="FF4F81BD"/>
      <rgbColor rgb="FF33CCCC"/>
      <rgbColor rgb="FF9BBB59"/>
      <rgbColor rgb="FFFFCC00"/>
      <rgbColor rgb="FFD8A72B"/>
      <rgbColor rgb="FFFF6600"/>
      <rgbColor rgb="FF667789"/>
      <rgbColor rgb="FF8064A2"/>
      <rgbColor rgb="FF173047"/>
      <rgbColor rgb="FF339966"/>
      <rgbColor rgb="FF071F3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Competency Results by Domain</a:t>
            </a:r>
          </a:p>
        </c:rich>
      </c:tx>
      <c:overlay val="0"/>
      <c:spPr>
        <a:noFill/>
        <a:ln w="0">
          <a:noFill/>
        </a:ln>
      </c:spPr>
    </c:title>
    <c:autoTitleDeleted val="0"/>
    <c:plotArea>
      <c:barChart>
        <c:barDir val="col"/>
        <c:grouping val="clustered"/>
        <c:varyColors val="0"/>
        <c:ser>
          <c:idx val="0"/>
          <c:order val="0"/>
          <c:tx>
            <c:strRef>
              <c:f>Dashboard!D10</c:f>
              <c:strCache>
                <c:ptCount val="1"/>
                <c:pt idx="0">
                  <c:v>Competent</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Dashboard!$B$11:$B$16</c:f>
              <c:strCache>
                <c:ptCount val="6"/>
                <c:pt idx="0">
                  <c:v>Technical Skills</c:v>
                </c:pt>
                <c:pt idx="1">
                  <c:v>Quality Management</c:v>
                </c:pt>
                <c:pt idx="2">
                  <c:v>Safety</c:v>
                </c:pt>
                <c:pt idx="3">
                  <c:v>Communication</c:v>
                </c:pt>
                <c:pt idx="4">
                  <c:v>Knowledge</c:v>
                </c:pt>
                <c:pt idx="5">
                  <c:v>Professional Development</c:v>
                </c:pt>
              </c:strCache>
            </c:strRef>
          </c:cat>
          <c:val>
            <c:numRef>
              <c:f>Dashboard!$D$11:$D$16</c:f>
              <c:numCache>
                <c:formatCode>General</c:formatCode>
                <c:ptCount val="6"/>
                <c:pt idx="0">
                  <c:v>0</c:v>
                </c:pt>
                <c:pt idx="1">
                  <c:v>0</c:v>
                </c:pt>
                <c:pt idx="2">
                  <c:v>0</c:v>
                </c:pt>
                <c:pt idx="3">
                  <c:v>0</c:v>
                </c:pt>
                <c:pt idx="4">
                  <c:v>0</c:v>
                </c:pt>
                <c:pt idx="5">
                  <c:v>0</c:v>
                </c:pt>
              </c:numCache>
            </c:numRef>
          </c:val>
        </c:ser>
        <c:ser>
          <c:idx val="1"/>
          <c:order val="1"/>
          <c:tx>
            <c:strRef>
              <c:f>Dashboard!E10</c:f>
              <c:strCache>
                <c:ptCount val="1"/>
                <c:pt idx="0">
                  <c:v>Needs Imp.</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Dashboard!$B$11:$B$16</c:f>
              <c:strCache>
                <c:ptCount val="6"/>
                <c:pt idx="0">
                  <c:v>Technical Skills</c:v>
                </c:pt>
                <c:pt idx="1">
                  <c:v>Quality Management</c:v>
                </c:pt>
                <c:pt idx="2">
                  <c:v>Safety</c:v>
                </c:pt>
                <c:pt idx="3">
                  <c:v>Communication</c:v>
                </c:pt>
                <c:pt idx="4">
                  <c:v>Knowledge</c:v>
                </c:pt>
                <c:pt idx="5">
                  <c:v>Professional Development</c:v>
                </c:pt>
              </c:strCache>
            </c:strRef>
          </c:cat>
          <c:val>
            <c:numRef>
              <c:f>Dashboard!$E$11:$E$16</c:f>
              <c:numCache>
                <c:formatCode>General</c:formatCode>
                <c:ptCount val="6"/>
                <c:pt idx="0">
                  <c:v>0</c:v>
                </c:pt>
                <c:pt idx="1">
                  <c:v>0</c:v>
                </c:pt>
                <c:pt idx="2">
                  <c:v>0</c:v>
                </c:pt>
                <c:pt idx="3">
                  <c:v>0</c:v>
                </c:pt>
                <c:pt idx="4">
                  <c:v>0</c:v>
                </c:pt>
                <c:pt idx="5">
                  <c:v>0</c:v>
                </c:pt>
              </c:numCache>
            </c:numRef>
          </c:val>
        </c:ser>
        <c:ser>
          <c:idx val="2"/>
          <c:order val="2"/>
          <c:tx>
            <c:strRef>
              <c:f>Dashboard!F10</c:f>
              <c:strCache>
                <c:ptCount val="1"/>
                <c:pt idx="0">
                  <c:v>Not Comp.</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Dashboard!$B$11:$B$16</c:f>
              <c:strCache>
                <c:ptCount val="6"/>
                <c:pt idx="0">
                  <c:v>Technical Skills</c:v>
                </c:pt>
                <c:pt idx="1">
                  <c:v>Quality Management</c:v>
                </c:pt>
                <c:pt idx="2">
                  <c:v>Safety</c:v>
                </c:pt>
                <c:pt idx="3">
                  <c:v>Communication</c:v>
                </c:pt>
                <c:pt idx="4">
                  <c:v>Knowledge</c:v>
                </c:pt>
                <c:pt idx="5">
                  <c:v>Professional Development</c:v>
                </c:pt>
              </c:strCache>
            </c:strRef>
          </c:cat>
          <c:val>
            <c:numRef>
              <c:f>Dashboard!$F$11:$F$16</c:f>
              <c:numCache>
                <c:formatCode>General</c:formatCode>
                <c:ptCount val="6"/>
                <c:pt idx="0">
                  <c:v>0</c:v>
                </c:pt>
                <c:pt idx="1">
                  <c:v>0</c:v>
                </c:pt>
                <c:pt idx="2">
                  <c:v>0</c:v>
                </c:pt>
                <c:pt idx="3">
                  <c:v>0</c:v>
                </c:pt>
                <c:pt idx="4">
                  <c:v>0</c:v>
                </c:pt>
                <c:pt idx="5">
                  <c:v>0</c:v>
                </c:pt>
              </c:numCache>
            </c:numRef>
          </c:val>
        </c:ser>
        <c:gapWidth val="150"/>
        <c:overlap val="0"/>
        <c:axId val="81226821"/>
        <c:axId val="62309593"/>
      </c:barChart>
      <c:catAx>
        <c:axId val="8122682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309593"/>
        <c:crosses val="autoZero"/>
        <c:auto val="1"/>
        <c:lblAlgn val="ctr"/>
        <c:lblOffset val="100"/>
        <c:noMultiLvlLbl val="0"/>
      </c:catAx>
      <c:valAx>
        <c:axId val="623095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Count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1226821"/>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Result Distribution</a:t>
            </a:r>
          </a:p>
        </c:rich>
      </c:tx>
      <c:overlay val="0"/>
      <c:spPr>
        <a:noFill/>
        <a:ln w="0">
          <a:noFill/>
        </a:ln>
      </c:spPr>
    </c:title>
    <c:autoTitleDeleted val="0"/>
    <c:plotArea>
      <c:pieChart>
        <c:varyColors val="1"/>
        <c:ser>
          <c:idx val="0"/>
          <c:order val="0"/>
          <c:tx>
            <c:strRef>
              <c:f>Dashboard!C23</c:f>
              <c:strCache>
                <c:ptCount val="1"/>
                <c:pt idx="0">
                  <c:v>Count</c:v>
                </c:pt>
              </c:strCache>
            </c:strRef>
          </c:tx>
          <c:spPr>
            <a:solidFill>
              <a:srgbClr val="4F81BD"/>
            </a:solidFill>
            <a:ln w="12600">
              <a:noFill/>
            </a:ln>
          </c:spPr>
          <c:explosion val="0"/>
          <c:dPt>
            <c:idx val="0"/>
            <c:spPr>
              <a:solidFill>
                <a:srgbClr val="4F81BD"/>
              </a:solidFill>
              <a:ln w="12600">
                <a:noFill/>
              </a:ln>
            </c:spPr>
          </c:dPt>
          <c:dPt>
            <c:idx val="1"/>
            <c:spPr>
              <a:solidFill>
                <a:srgbClr val="C0504D"/>
              </a:solidFill>
              <a:ln w="12600">
                <a:noFill/>
              </a:ln>
            </c:spPr>
          </c:dPt>
          <c:dPt>
            <c:idx val="2"/>
            <c:spPr>
              <a:solidFill>
                <a:srgbClr val="9BBB59"/>
              </a:solidFill>
              <a:ln w="12600">
                <a:noFill/>
              </a:ln>
            </c:spPr>
          </c:dPt>
          <c:dPt>
            <c:idx val="3"/>
            <c:spPr>
              <a:solidFill>
                <a:srgbClr val="8064A2"/>
              </a:solidFill>
              <a:ln w="12600">
                <a:noFill/>
              </a:ln>
            </c:spPr>
          </c:dPt>
          <c:dLbls>
            <c:dLbl>
              <c:idx val="0"/>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1"/>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2"/>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dLbl>
              <c:idx val="3"/>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dLbl>
            <c:txPr>
              <a:bodyPr wrap="square"/>
              <a:lstStyle/>
              <a:p>
                <a:pPr>
                  <a:defRPr sz="1000" b="0" u="none" strike="noStrike">
                    <a:solidFill>
                      <a:srgbClr val="000000"/>
                    </a:solidFill>
                    <a:uFillTx/>
                    <a:latin typeface="Calibri"/>
                  </a:defRPr>
                </a:pPr>
              </a:p>
            </c:txPr>
            <c:dLblPos val="bestFit"/>
            <c:showLegendKey val="1"/>
            <c:showVal val="1"/>
            <c:showCatName val="1"/>
            <c:showSerName val="1"/>
            <c:showPercent val="1"/>
            <c:separator>; </c:separator>
            <c:showLeaderLines val="1"/>
            <c:leaderLines>
              <c:spPr>
                <a:ln w="0">
                  <a:solidFill>
                    <a:srgbClr val="000000"/>
                  </a:solidFill>
                </a:ln>
              </c:spPr>
            </c:leaderLines>
          </c:dLbls>
          <c:cat>
            <c:strRef>
              <c:f>Dashboard!$B$24:$B$27</c:f>
              <c:strCache>
                <c:ptCount val="4"/>
                <c:pt idx="0">
                  <c:v>Competent</c:v>
                </c:pt>
                <c:pt idx="1">
                  <c:v>Needs Improvement</c:v>
                </c:pt>
                <c:pt idx="2">
                  <c:v>Not Competent</c:v>
                </c:pt>
                <c:pt idx="3">
                  <c:v>N/A</c:v>
                </c:pt>
              </c:strCache>
            </c:strRef>
          </c:cat>
          <c:val>
            <c:numRef>
              <c:f>Dashboard!$C$24:$C$27</c:f>
              <c:numCache>
                <c:formatCode>General</c:formatCode>
                <c:ptCount val="4"/>
                <c:pt idx="0">
                  <c:v>0</c:v>
                </c:pt>
                <c:pt idx="1">
                  <c:v>0</c:v>
                </c:pt>
                <c:pt idx="2">
                  <c:v>0</c:v>
                </c:pt>
                <c:pt idx="3">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1095120</xdr:colOff>
      <xdr:row>4</xdr:row>
      <xdr:rowOff>94680</xdr:rowOff>
    </xdr:to>
    <xdr:pic>
      <xdr:nvPicPr>
        <xdr:cNvPr id="1" name="Image 1" descr="Picture"/>
        <xdr:cNvPicPr/>
      </xdr:nvPicPr>
      <xdr:blipFill>
        <a:blip r:embed="rId1"/>
        <a:stretch/>
      </xdr:blipFill>
      <xdr:spPr>
        <a:xfrm>
          <a:off x="211320" y="190440"/>
          <a:ext cx="1095120" cy="6663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8</xdr:row>
      <xdr:rowOff>0</xdr:rowOff>
    </xdr:from>
    <xdr:to>
      <xdr:col>13</xdr:col>
      <xdr:colOff>214200</xdr:colOff>
      <xdr:row>22</xdr:row>
      <xdr:rowOff>119160</xdr:rowOff>
    </xdr:to>
    <xdr:graphicFrame>
      <xdr:nvGraphicFramePr>
        <xdr:cNvPr id="2" name="Chart 1"/>
        <xdr:cNvGraphicFramePr/>
      </xdr:nvGraphicFramePr>
      <xdr:xfrm>
        <a:off x="6132240" y="193356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21</xdr:row>
      <xdr:rowOff>0</xdr:rowOff>
    </xdr:from>
    <xdr:to>
      <xdr:col>8</xdr:col>
      <xdr:colOff>372600</xdr:colOff>
      <xdr:row>34</xdr:row>
      <xdr:rowOff>176400</xdr:rowOff>
    </xdr:to>
    <xdr:graphicFrame>
      <xdr:nvGraphicFramePr>
        <xdr:cNvPr id="3" name="Chart 2"/>
        <xdr:cNvGraphicFramePr/>
      </xdr:nvGraphicFramePr>
      <xdr:xfrm>
        <a:off x="3171960" y="474912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9: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55"/>
    <col collapsed="false" customWidth="true" hidden="false" outlineLevel="0" max="3" min="3" style="0" width="3"/>
  </cols>
  <sheetData>
    <row r="9" customFormat="false" ht="26.8" hidden="false" customHeight="false" outlineLevel="0" collapsed="false">
      <c r="B9" s="1" t="s">
        <v>0</v>
      </c>
    </row>
    <row r="10" customFormat="false" ht="15" hidden="false" customHeight="false" outlineLevel="0" collapsed="false">
      <c r="B10" s="2" t="s">
        <v>1</v>
      </c>
    </row>
    <row r="12" customFormat="false" ht="15" hidden="false" customHeight="false" outlineLevel="0" collapsed="false">
      <c r="B12" s="3"/>
      <c r="C12" s="3"/>
    </row>
    <row r="13" customFormat="false" ht="49.5" hidden="false" customHeight="true" outlineLevel="0" collapsed="false">
      <c r="B13" s="4" t="s">
        <v>2</v>
      </c>
    </row>
    <row r="15" customFormat="false" ht="16.15" hidden="false" customHeight="false" outlineLevel="0" collapsed="false">
      <c r="B15" s="5" t="s">
        <v>3</v>
      </c>
    </row>
    <row r="16" customFormat="false" ht="23.85" hidden="false" customHeight="false" outlineLevel="0" collapsed="false">
      <c r="B16" s="6" t="s">
        <v>4</v>
      </c>
    </row>
    <row r="17" customFormat="false" ht="15" hidden="false" customHeight="false" outlineLevel="0" collapsed="false">
      <c r="B17" s="6" t="s">
        <v>5</v>
      </c>
    </row>
    <row r="18" customFormat="false" ht="15" hidden="false" customHeight="false" outlineLevel="0" collapsed="false">
      <c r="B18" s="6" t="s">
        <v>6</v>
      </c>
    </row>
    <row r="19" customFormat="false" ht="15" hidden="false" customHeight="false" outlineLevel="0" collapsed="false">
      <c r="B19" s="6" t="s">
        <v>7</v>
      </c>
    </row>
    <row r="20" customFormat="false" ht="15" hidden="false" customHeight="false" outlineLevel="0" collapsed="false">
      <c r="B20" s="6" t="s">
        <v>8</v>
      </c>
    </row>
    <row r="21" customFormat="false" ht="15" hidden="false" customHeight="false" outlineLevel="0" collapsed="false">
      <c r="B21" s="6" t="s">
        <v>9</v>
      </c>
    </row>
    <row r="23" customFormat="false" ht="16.15" hidden="false" customHeight="false" outlineLevel="0" collapsed="false">
      <c r="B23" s="5" t="s">
        <v>10</v>
      </c>
    </row>
    <row r="24" customFormat="false" ht="15" hidden="false" customHeight="false" outlineLevel="0" collapsed="false">
      <c r="B24" s="6" t="s">
        <v>11</v>
      </c>
    </row>
    <row r="25" customFormat="false" ht="15" hidden="false" customHeight="false" outlineLevel="0" collapsed="false">
      <c r="B25" s="6" t="s">
        <v>12</v>
      </c>
    </row>
    <row r="26" customFormat="false" ht="15" hidden="false" customHeight="false" outlineLevel="0" collapsed="false">
      <c r="B26" s="6" t="s">
        <v>13</v>
      </c>
    </row>
    <row r="27" customFormat="false" ht="15" hidden="false" customHeight="false" outlineLevel="0" collapsed="false">
      <c r="B27" s="6" t="s">
        <v>14</v>
      </c>
    </row>
    <row r="28" customFormat="false" ht="15" hidden="false" customHeight="false" outlineLevel="0" collapsed="false">
      <c r="B28" s="6" t="s">
        <v>15</v>
      </c>
    </row>
    <row r="29" customFormat="false" ht="15" hidden="false" customHeight="false" outlineLevel="0" collapsed="false">
      <c r="B29" s="6" t="s">
        <v>16</v>
      </c>
    </row>
    <row r="31" customFormat="false" ht="16.15" hidden="false" customHeight="false" outlineLevel="0" collapsed="false">
      <c r="B31" s="5" t="s">
        <v>17</v>
      </c>
    </row>
    <row r="32" customFormat="false" ht="64.5" hidden="false" customHeight="true" outlineLevel="0" collapsed="false">
      <c r="B32" s="7" t="s">
        <v>18</v>
      </c>
    </row>
    <row r="34" customFormat="false" ht="15" hidden="false" customHeight="false" outlineLevel="0" collapsed="false">
      <c r="B34" s="8"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4" min="1" style="0" width="25"/>
  </cols>
  <sheetData>
    <row r="1" customFormat="false" ht="15" hidden="false" customHeight="false" outlineLevel="0" collapsed="false">
      <c r="A1" s="9" t="s">
        <v>20</v>
      </c>
      <c r="B1" s="9" t="s">
        <v>21</v>
      </c>
      <c r="C1" s="9" t="s">
        <v>22</v>
      </c>
      <c r="D1" s="9" t="s">
        <v>23</v>
      </c>
    </row>
    <row r="2" customFormat="false" ht="15" hidden="false" customHeight="false" outlineLevel="0" collapsed="false">
      <c r="A2" s="10" t="s">
        <v>24</v>
      </c>
      <c r="B2" s="10" t="s">
        <v>25</v>
      </c>
      <c r="C2" s="10" t="s">
        <v>26</v>
      </c>
      <c r="D2" s="10" t="s">
        <v>27</v>
      </c>
    </row>
    <row r="3" customFormat="false" ht="15" hidden="false" customHeight="false" outlineLevel="0" collapsed="false">
      <c r="A3" s="10" t="s">
        <v>28</v>
      </c>
      <c r="B3" s="10" t="s">
        <v>29</v>
      </c>
      <c r="C3" s="10" t="s">
        <v>30</v>
      </c>
      <c r="D3" s="10" t="s">
        <v>31</v>
      </c>
    </row>
    <row r="4" customFormat="false" ht="15" hidden="false" customHeight="false" outlineLevel="0" collapsed="false">
      <c r="A4" s="10" t="s">
        <v>32</v>
      </c>
      <c r="B4" s="10" t="s">
        <v>33</v>
      </c>
      <c r="C4" s="10" t="s">
        <v>34</v>
      </c>
      <c r="D4" s="10" t="s">
        <v>35</v>
      </c>
    </row>
    <row r="5" customFormat="false" ht="15" hidden="false" customHeight="false" outlineLevel="0" collapsed="false">
      <c r="A5" s="10" t="s">
        <v>36</v>
      </c>
      <c r="B5" s="10" t="s">
        <v>37</v>
      </c>
      <c r="C5" s="10" t="s">
        <v>38</v>
      </c>
      <c r="D5" s="10" t="s">
        <v>39</v>
      </c>
    </row>
    <row r="6" customFormat="false" ht="15" hidden="false" customHeight="false" outlineLevel="0" collapsed="false">
      <c r="B6" s="10" t="s">
        <v>40</v>
      </c>
      <c r="C6" s="10" t="s">
        <v>41</v>
      </c>
    </row>
    <row r="7" customFormat="false" ht="15" hidden="false" customHeight="false" outlineLevel="0" collapsed="false">
      <c r="C7" s="10"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25"/>
    <col collapsed="false" customWidth="true" hidden="false" outlineLevel="0" max="3" min="3" style="0" width="40"/>
  </cols>
  <sheetData>
    <row r="2" customFormat="false" ht="30" hidden="false" customHeight="true" outlineLevel="0" collapsed="false">
      <c r="B2" s="11" t="s">
        <v>43</v>
      </c>
      <c r="C2" s="11"/>
    </row>
    <row r="4" customFormat="false" ht="24" hidden="false" customHeight="true" outlineLevel="0" collapsed="false">
      <c r="B4" s="12" t="s">
        <v>44</v>
      </c>
      <c r="C4" s="13"/>
    </row>
    <row r="6" customFormat="false" ht="24" hidden="false" customHeight="true" outlineLevel="0" collapsed="false">
      <c r="B6" s="12" t="s">
        <v>45</v>
      </c>
      <c r="C6" s="13"/>
    </row>
    <row r="8" customFormat="false" ht="24" hidden="false" customHeight="true" outlineLevel="0" collapsed="false">
      <c r="B8" s="12" t="s">
        <v>46</v>
      </c>
      <c r="C8" s="13"/>
    </row>
    <row r="10" customFormat="false" ht="24" hidden="false" customHeight="true" outlineLevel="0" collapsed="false">
      <c r="B10" s="12" t="s">
        <v>47</v>
      </c>
      <c r="C10" s="13"/>
    </row>
    <row r="12" customFormat="false" ht="24" hidden="false" customHeight="true" outlineLevel="0" collapsed="false">
      <c r="B12" s="12" t="s">
        <v>48</v>
      </c>
      <c r="C12" s="13"/>
    </row>
    <row r="14" customFormat="false" ht="24" hidden="false" customHeight="true" outlineLevel="0" collapsed="false">
      <c r="B14" s="12" t="s">
        <v>49</v>
      </c>
      <c r="C14" s="13" t="s">
        <v>50</v>
      </c>
    </row>
    <row r="16" customFormat="false" ht="24" hidden="false" customHeight="true" outlineLevel="0" collapsed="false">
      <c r="B16" s="12" t="s">
        <v>51</v>
      </c>
      <c r="C16" s="13"/>
    </row>
    <row r="18" customFormat="false" ht="24" hidden="false" customHeight="true" outlineLevel="0" collapsed="false">
      <c r="B18" s="12" t="s">
        <v>52</v>
      </c>
      <c r="C18" s="13"/>
    </row>
    <row r="20" customFormat="false" ht="24" hidden="false" customHeight="true" outlineLevel="0" collapsed="false">
      <c r="B20" s="12" t="s">
        <v>53</v>
      </c>
      <c r="C20" s="13"/>
    </row>
  </sheetData>
  <mergeCells count="1">
    <mergeCell ref="B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3" min="2" style="0" width="18"/>
    <col collapsed="false" customWidth="true" hidden="false" outlineLevel="0" max="4" min="4" style="0" width="38"/>
    <col collapsed="false" customWidth="true" hidden="false" outlineLevel="0" max="5" min="5" style="0" width="14"/>
    <col collapsed="false" customWidth="true" hidden="false" outlineLevel="0" max="6" min="6" style="0" width="8"/>
    <col collapsed="false" customWidth="true" hidden="false" outlineLevel="0" max="7" min="7" style="0" width="25"/>
    <col collapsed="false" customWidth="true" hidden="false" outlineLevel="0" max="9" min="8" style="0" width="14"/>
    <col collapsed="false" customWidth="true" hidden="false" outlineLevel="0" max="10" min="10" style="0" width="22"/>
  </cols>
  <sheetData>
    <row r="1" customFormat="false" ht="36" hidden="false" customHeight="true" outlineLevel="0" collapsed="false">
      <c r="A1" s="14" t="s">
        <v>54</v>
      </c>
      <c r="B1" s="14" t="s">
        <v>55</v>
      </c>
      <c r="C1" s="14" t="s">
        <v>56</v>
      </c>
      <c r="D1" s="14" t="s">
        <v>57</v>
      </c>
      <c r="E1" s="14" t="s">
        <v>58</v>
      </c>
      <c r="F1" s="14" t="s">
        <v>59</v>
      </c>
      <c r="G1" s="14" t="s">
        <v>60</v>
      </c>
      <c r="H1" s="14" t="s">
        <v>61</v>
      </c>
      <c r="I1" s="14" t="s">
        <v>62</v>
      </c>
      <c r="J1" s="14" t="s">
        <v>63</v>
      </c>
    </row>
    <row r="2" customFormat="false" ht="15" hidden="false" customHeight="false" outlineLevel="0" collapsed="false">
      <c r="A2" s="15" t="n">
        <v>1</v>
      </c>
      <c r="B2" s="16" t="s">
        <v>26</v>
      </c>
      <c r="C2" s="16" t="s">
        <v>25</v>
      </c>
      <c r="D2" s="16" t="s">
        <v>64</v>
      </c>
      <c r="E2" s="16"/>
      <c r="F2" s="17" t="n">
        <f aca="false">IF(E2="Competent",1,IF(E2="Needs Improvement",0.5,IF(E2="Not Competent",0,0)))</f>
        <v>0</v>
      </c>
      <c r="G2" s="16"/>
      <c r="H2" s="16"/>
      <c r="I2" s="16"/>
      <c r="J2" s="15" t="str">
        <f aca="false">IF(E2="Not Competent","Yes",IF(E2="Needs Improvement","Yes","No"))</f>
        <v>No</v>
      </c>
    </row>
    <row r="3" customFormat="false" ht="15" hidden="false" customHeight="false" outlineLevel="0" collapsed="false">
      <c r="A3" s="15" t="n">
        <v>2</v>
      </c>
      <c r="B3" s="16" t="s">
        <v>26</v>
      </c>
      <c r="C3" s="16" t="s">
        <v>25</v>
      </c>
      <c r="D3" s="16" t="s">
        <v>65</v>
      </c>
      <c r="E3" s="16"/>
      <c r="F3" s="17" t="n">
        <f aca="false">IF(E3="Competent",1,IF(E3="Needs Improvement",0.5,IF(E3="Not Competent",0,0)))</f>
        <v>0</v>
      </c>
      <c r="G3" s="16"/>
      <c r="H3" s="16"/>
      <c r="I3" s="16"/>
      <c r="J3" s="15" t="str">
        <f aca="false">IF(E3="Not Competent","Yes",IF(E3="Needs Improvement","Yes","No"))</f>
        <v>No</v>
      </c>
    </row>
    <row r="4" customFormat="false" ht="15" hidden="false" customHeight="false" outlineLevel="0" collapsed="false">
      <c r="A4" s="15" t="n">
        <v>3</v>
      </c>
      <c r="B4" s="16" t="s">
        <v>26</v>
      </c>
      <c r="C4" s="16" t="s">
        <v>29</v>
      </c>
      <c r="D4" s="16" t="s">
        <v>66</v>
      </c>
      <c r="E4" s="16"/>
      <c r="F4" s="17" t="n">
        <f aca="false">IF(E4="Competent",1,IF(E4="Needs Improvement",0.5,IF(E4="Not Competent",0,0)))</f>
        <v>0</v>
      </c>
      <c r="G4" s="16"/>
      <c r="H4" s="16"/>
      <c r="I4" s="16"/>
      <c r="J4" s="15" t="str">
        <f aca="false">IF(E4="Not Competent","Yes",IF(E4="Needs Improvement","Yes","No"))</f>
        <v>No</v>
      </c>
    </row>
    <row r="5" customFormat="false" ht="15" hidden="false" customHeight="false" outlineLevel="0" collapsed="false">
      <c r="A5" s="15" t="n">
        <v>4</v>
      </c>
      <c r="B5" s="16" t="s">
        <v>26</v>
      </c>
      <c r="C5" s="16" t="s">
        <v>25</v>
      </c>
      <c r="D5" s="16" t="s">
        <v>67</v>
      </c>
      <c r="E5" s="16"/>
      <c r="F5" s="17" t="n">
        <f aca="false">IF(E5="Competent",1,IF(E5="Needs Improvement",0.5,IF(E5="Not Competent",0,0)))</f>
        <v>0</v>
      </c>
      <c r="G5" s="16"/>
      <c r="H5" s="16"/>
      <c r="I5" s="16"/>
      <c r="J5" s="15" t="str">
        <f aca="false">IF(E5="Not Competent","Yes",IF(E5="Needs Improvement","Yes","No"))</f>
        <v>No</v>
      </c>
    </row>
    <row r="6" customFormat="false" ht="23.85" hidden="false" customHeight="false" outlineLevel="0" collapsed="false">
      <c r="A6" s="15" t="n">
        <v>5</v>
      </c>
      <c r="B6" s="16" t="s">
        <v>26</v>
      </c>
      <c r="C6" s="16" t="s">
        <v>40</v>
      </c>
      <c r="D6" s="16" t="s">
        <v>68</v>
      </c>
      <c r="E6" s="16"/>
      <c r="F6" s="17" t="n">
        <f aca="false">IF(E6="Competent",1,IF(E6="Needs Improvement",0.5,IF(E6="Not Competent",0,0)))</f>
        <v>0</v>
      </c>
      <c r="G6" s="16"/>
      <c r="H6" s="16"/>
      <c r="I6" s="16"/>
      <c r="J6" s="15" t="str">
        <f aca="false">IF(E6="Not Competent","Yes",IF(E6="Needs Improvement","Yes","No"))</f>
        <v>No</v>
      </c>
    </row>
    <row r="7" customFormat="false" ht="23.85" hidden="false" customHeight="false" outlineLevel="0" collapsed="false">
      <c r="A7" s="15" t="n">
        <v>6</v>
      </c>
      <c r="B7" s="16" t="s">
        <v>30</v>
      </c>
      <c r="C7" s="16" t="s">
        <v>29</v>
      </c>
      <c r="D7" s="16" t="s">
        <v>69</v>
      </c>
      <c r="E7" s="16"/>
      <c r="F7" s="17" t="n">
        <f aca="false">IF(E7="Competent",1,IF(E7="Needs Improvement",0.5,IF(E7="Not Competent",0,0)))</f>
        <v>0</v>
      </c>
      <c r="G7" s="16"/>
      <c r="H7" s="16"/>
      <c r="I7" s="16"/>
      <c r="J7" s="15" t="str">
        <f aca="false">IF(E7="Not Competent","Yes",IF(E7="Needs Improvement","Yes","No"))</f>
        <v>No</v>
      </c>
    </row>
    <row r="8" customFormat="false" ht="15" hidden="false" customHeight="false" outlineLevel="0" collapsed="false">
      <c r="A8" s="15" t="n">
        <v>7</v>
      </c>
      <c r="B8" s="16" t="s">
        <v>30</v>
      </c>
      <c r="C8" s="16" t="s">
        <v>25</v>
      </c>
      <c r="D8" s="16" t="s">
        <v>70</v>
      </c>
      <c r="E8" s="16"/>
      <c r="F8" s="17" t="n">
        <f aca="false">IF(E8="Competent",1,IF(E8="Needs Improvement",0.5,IF(E8="Not Competent",0,0)))</f>
        <v>0</v>
      </c>
      <c r="G8" s="16"/>
      <c r="H8" s="16"/>
      <c r="I8" s="16"/>
      <c r="J8" s="15" t="str">
        <f aca="false">IF(E8="Not Competent","Yes",IF(E8="Needs Improvement","Yes","No"))</f>
        <v>No</v>
      </c>
    </row>
    <row r="9" customFormat="false" ht="23.85" hidden="false" customHeight="false" outlineLevel="0" collapsed="false">
      <c r="A9" s="15" t="n">
        <v>8</v>
      </c>
      <c r="B9" s="16" t="s">
        <v>30</v>
      </c>
      <c r="C9" s="16" t="s">
        <v>29</v>
      </c>
      <c r="D9" s="16" t="s">
        <v>71</v>
      </c>
      <c r="E9" s="16"/>
      <c r="F9" s="17" t="n">
        <f aca="false">IF(E9="Competent",1,IF(E9="Needs Improvement",0.5,IF(E9="Not Competent",0,0)))</f>
        <v>0</v>
      </c>
      <c r="G9" s="16"/>
      <c r="H9" s="16"/>
      <c r="I9" s="16"/>
      <c r="J9" s="15" t="str">
        <f aca="false">IF(E9="Not Competent","Yes",IF(E9="Needs Improvement","Yes","No"))</f>
        <v>No</v>
      </c>
    </row>
    <row r="10" customFormat="false" ht="15" hidden="false" customHeight="false" outlineLevel="0" collapsed="false">
      <c r="A10" s="15" t="n">
        <v>9</v>
      </c>
      <c r="B10" s="16" t="s">
        <v>34</v>
      </c>
      <c r="C10" s="16" t="s">
        <v>25</v>
      </c>
      <c r="D10" s="16" t="s">
        <v>72</v>
      </c>
      <c r="E10" s="16"/>
      <c r="F10" s="17" t="n">
        <f aca="false">IF(E10="Competent",1,IF(E10="Needs Improvement",0.5,IF(E10="Not Competent",0,0)))</f>
        <v>0</v>
      </c>
      <c r="G10" s="16"/>
      <c r="H10" s="16"/>
      <c r="I10" s="16"/>
      <c r="J10" s="15" t="str">
        <f aca="false">IF(E10="Not Competent","Yes",IF(E10="Needs Improvement","Yes","No"))</f>
        <v>No</v>
      </c>
    </row>
    <row r="11" customFormat="false" ht="15" hidden="false" customHeight="false" outlineLevel="0" collapsed="false">
      <c r="A11" s="15" t="n">
        <v>10</v>
      </c>
      <c r="B11" s="16" t="s">
        <v>34</v>
      </c>
      <c r="C11" s="16" t="s">
        <v>25</v>
      </c>
      <c r="D11" s="16" t="s">
        <v>73</v>
      </c>
      <c r="E11" s="16"/>
      <c r="F11" s="17" t="n">
        <f aca="false">IF(E11="Competent",1,IF(E11="Needs Improvement",0.5,IF(E11="Not Competent",0,0)))</f>
        <v>0</v>
      </c>
      <c r="G11" s="16"/>
      <c r="H11" s="16"/>
      <c r="I11" s="16"/>
      <c r="J11" s="15" t="str">
        <f aca="false">IF(E11="Not Competent","Yes",IF(E11="Needs Improvement","Yes","No"))</f>
        <v>No</v>
      </c>
    </row>
    <row r="12" customFormat="false" ht="15" hidden="false" customHeight="false" outlineLevel="0" collapsed="false">
      <c r="A12" s="15" t="n">
        <v>11</v>
      </c>
      <c r="B12" s="16" t="s">
        <v>34</v>
      </c>
      <c r="C12" s="16" t="s">
        <v>29</v>
      </c>
      <c r="D12" s="16" t="s">
        <v>74</v>
      </c>
      <c r="E12" s="16"/>
      <c r="F12" s="17" t="n">
        <f aca="false">IF(E12="Competent",1,IF(E12="Needs Improvement",0.5,IF(E12="Not Competent",0,0)))</f>
        <v>0</v>
      </c>
      <c r="G12" s="16"/>
      <c r="H12" s="16"/>
      <c r="I12" s="16"/>
      <c r="J12" s="15" t="str">
        <f aca="false">IF(E12="Not Competent","Yes",IF(E12="Needs Improvement","Yes","No"))</f>
        <v>No</v>
      </c>
    </row>
    <row r="13" customFormat="false" ht="15" hidden="false" customHeight="false" outlineLevel="0" collapsed="false">
      <c r="A13" s="15" t="n">
        <v>12</v>
      </c>
      <c r="B13" s="16" t="s">
        <v>38</v>
      </c>
      <c r="C13" s="16" t="s">
        <v>37</v>
      </c>
      <c r="D13" s="16" t="s">
        <v>75</v>
      </c>
      <c r="E13" s="16"/>
      <c r="F13" s="17" t="n">
        <f aca="false">IF(E13="Competent",1,IF(E13="Needs Improvement",0.5,IF(E13="Not Competent",0,0)))</f>
        <v>0</v>
      </c>
      <c r="G13" s="16"/>
      <c r="H13" s="16"/>
      <c r="I13" s="16"/>
      <c r="J13" s="15" t="str">
        <f aca="false">IF(E13="Not Competent","Yes",IF(E13="Needs Improvement","Yes","No"))</f>
        <v>No</v>
      </c>
    </row>
    <row r="14" customFormat="false" ht="15" hidden="false" customHeight="false" outlineLevel="0" collapsed="false">
      <c r="A14" s="15" t="n">
        <v>13</v>
      </c>
      <c r="B14" s="16" t="s">
        <v>38</v>
      </c>
      <c r="C14" s="16" t="s">
        <v>25</v>
      </c>
      <c r="D14" s="16" t="s">
        <v>76</v>
      </c>
      <c r="E14" s="16"/>
      <c r="F14" s="17" t="n">
        <f aca="false">IF(E14="Competent",1,IF(E14="Needs Improvement",0.5,IF(E14="Not Competent",0,0)))</f>
        <v>0</v>
      </c>
      <c r="G14" s="16"/>
      <c r="H14" s="16"/>
      <c r="I14" s="16"/>
      <c r="J14" s="15" t="str">
        <f aca="false">IF(E14="Not Competent","Yes",IF(E14="Needs Improvement","Yes","No"))</f>
        <v>No</v>
      </c>
    </row>
    <row r="15" customFormat="false" ht="23.85" hidden="false" customHeight="false" outlineLevel="0" collapsed="false">
      <c r="A15" s="15" t="n">
        <v>14</v>
      </c>
      <c r="B15" s="16" t="s">
        <v>41</v>
      </c>
      <c r="C15" s="16" t="s">
        <v>33</v>
      </c>
      <c r="D15" s="16" t="s">
        <v>77</v>
      </c>
      <c r="E15" s="16"/>
      <c r="F15" s="17" t="n">
        <f aca="false">IF(E15="Competent",1,IF(E15="Needs Improvement",0.5,IF(E15="Not Competent",0,0)))</f>
        <v>0</v>
      </c>
      <c r="G15" s="16"/>
      <c r="H15" s="16"/>
      <c r="I15" s="16"/>
      <c r="J15" s="15" t="str">
        <f aca="false">IF(E15="Not Competent","Yes",IF(E15="Needs Improvement","Yes","No"))</f>
        <v>No</v>
      </c>
    </row>
    <row r="16" customFormat="false" ht="23.85" hidden="false" customHeight="false" outlineLevel="0" collapsed="false">
      <c r="A16" s="15" t="n">
        <v>15</v>
      </c>
      <c r="B16" s="16" t="s">
        <v>41</v>
      </c>
      <c r="C16" s="16" t="s">
        <v>37</v>
      </c>
      <c r="D16" s="16" t="s">
        <v>78</v>
      </c>
      <c r="E16" s="16"/>
      <c r="F16" s="17" t="n">
        <f aca="false">IF(E16="Competent",1,IF(E16="Needs Improvement",0.5,IF(E16="Not Competent",0,0)))</f>
        <v>0</v>
      </c>
      <c r="G16" s="16"/>
      <c r="H16" s="16"/>
      <c r="I16" s="16"/>
      <c r="J16" s="15" t="str">
        <f aca="false">IF(E16="Not Competent","Yes",IF(E16="Needs Improvement","Yes","No"))</f>
        <v>No</v>
      </c>
    </row>
    <row r="17" customFormat="false" ht="23.85" hidden="false" customHeight="false" outlineLevel="0" collapsed="false">
      <c r="A17" s="15" t="n">
        <v>16</v>
      </c>
      <c r="B17" s="16" t="s">
        <v>41</v>
      </c>
      <c r="C17" s="16" t="s">
        <v>33</v>
      </c>
      <c r="D17" s="16" t="s">
        <v>79</v>
      </c>
      <c r="E17" s="16"/>
      <c r="F17" s="17" t="n">
        <f aca="false">IF(E17="Competent",1,IF(E17="Needs Improvement",0.5,IF(E17="Not Competent",0,0)))</f>
        <v>0</v>
      </c>
      <c r="G17" s="16"/>
      <c r="H17" s="16"/>
      <c r="I17" s="16"/>
      <c r="J17" s="15" t="str">
        <f aca="false">IF(E17="Not Competent","Yes",IF(E17="Needs Improvement","Yes","No"))</f>
        <v>No</v>
      </c>
    </row>
    <row r="18" customFormat="false" ht="23.85" hidden="false" customHeight="false" outlineLevel="0" collapsed="false">
      <c r="A18" s="15" t="n">
        <v>17</v>
      </c>
      <c r="B18" s="16" t="s">
        <v>42</v>
      </c>
      <c r="C18" s="16" t="s">
        <v>29</v>
      </c>
      <c r="D18" s="16" t="s">
        <v>80</v>
      </c>
      <c r="E18" s="16"/>
      <c r="F18" s="17" t="n">
        <f aca="false">IF(E18="Competent",1,IF(E18="Needs Improvement",0.5,IF(E18="Not Competent",0,0)))</f>
        <v>0</v>
      </c>
      <c r="G18" s="16"/>
      <c r="H18" s="16"/>
      <c r="I18" s="16"/>
      <c r="J18" s="15" t="str">
        <f aca="false">IF(E18="Not Competent","Yes",IF(E18="Needs Improvement","Yes","No"))</f>
        <v>No</v>
      </c>
    </row>
    <row r="19" customFormat="false" ht="23.85" hidden="false" customHeight="false" outlineLevel="0" collapsed="false">
      <c r="A19" s="15" t="n">
        <v>18</v>
      </c>
      <c r="B19" s="16" t="s">
        <v>42</v>
      </c>
      <c r="C19" s="16" t="s">
        <v>29</v>
      </c>
      <c r="D19" s="16" t="s">
        <v>81</v>
      </c>
      <c r="E19" s="16"/>
      <c r="F19" s="17" t="n">
        <f aca="false">IF(E19="Competent",1,IF(E19="Needs Improvement",0.5,IF(E19="Not Competent",0,0)))</f>
        <v>0</v>
      </c>
      <c r="G19" s="16"/>
      <c r="H19" s="16"/>
      <c r="I19" s="16"/>
      <c r="J19" s="15" t="str">
        <f aca="false">IF(E19="Not Competent","Yes",IF(E19="Needs Improvement","Yes","No"))</f>
        <v>No</v>
      </c>
    </row>
    <row r="20" customFormat="false" ht="23.85" hidden="false" customHeight="false" outlineLevel="0" collapsed="false">
      <c r="A20" s="15" t="n">
        <v>19</v>
      </c>
      <c r="B20" s="16" t="s">
        <v>42</v>
      </c>
      <c r="C20" s="16" t="s">
        <v>25</v>
      </c>
      <c r="D20" s="16" t="s">
        <v>82</v>
      </c>
      <c r="E20" s="16"/>
      <c r="F20" s="17" t="n">
        <f aca="false">IF(E20="Competent",1,IF(E20="Needs Improvement",0.5,IF(E20="Not Competent",0,0)))</f>
        <v>0</v>
      </c>
      <c r="G20" s="16"/>
      <c r="H20" s="16"/>
      <c r="I20" s="16"/>
      <c r="J20" s="15" t="str">
        <f aca="false">IF(E20="Not Competent","Yes",IF(E20="Needs Improvement","Yes","No"))</f>
        <v>No</v>
      </c>
    </row>
  </sheetData>
  <autoFilter ref="A1:J20"/>
  <conditionalFormatting sqref="E2:E20">
    <cfRule type="cellIs" priority="2" operator="equal" aboveAverage="0" equalAverage="0" bottom="0" percent="0" rank="0" text="" dxfId="5">
      <formula>"Competent"</formula>
    </cfRule>
    <cfRule type="cellIs" priority="3" operator="equal" aboveAverage="0" equalAverage="0" bottom="0" percent="0" rank="0" text="" dxfId="6">
      <formula>"Needs Improvement"</formula>
    </cfRule>
    <cfRule type="cellIs" priority="4" operator="equal" aboveAverage="0" equalAverage="0" bottom="0" percent="0" rank="0" text="" dxfId="7">
      <formula>"Not Competent"</formula>
    </cfRule>
  </conditionalFormatting>
  <dataValidations count="2">
    <dataValidation allowBlank="true" errorStyle="stop" operator="between" showDropDown="false" showErrorMessage="false" showInputMessage="false" sqref="E2:E20" type="list">
      <formula1>"Competent,Needs Improvement,Not Competent,N/A"</formula1>
      <formula2>0</formula2>
    </dataValidation>
    <dataValidation allowBlank="true" errorStyle="stop" operator="between" showDropDown="false" showErrorMessage="false" showInputMessage="false" sqref="C2:C20" type="list">
      <formula1>"Direct Observation,Records Review,Written Test,Oral Exam,Performance Monitoring"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12" min="2" style="0" width="14"/>
  </cols>
  <sheetData>
    <row r="2" customFormat="false" ht="31.5" hidden="false" customHeight="true" outlineLevel="0" collapsed="false">
      <c r="B2" s="11" t="s">
        <v>83</v>
      </c>
      <c r="C2" s="11"/>
      <c r="D2" s="11"/>
      <c r="E2" s="11"/>
      <c r="F2" s="11"/>
      <c r="G2" s="11"/>
      <c r="H2" s="11"/>
      <c r="I2" s="11"/>
      <c r="J2" s="11"/>
      <c r="K2" s="11"/>
      <c r="L2" s="11"/>
    </row>
    <row r="4" customFormat="false" ht="21.75" hidden="false" customHeight="true" outlineLevel="0" collapsed="false">
      <c r="B4" s="18" t="s">
        <v>84</v>
      </c>
      <c r="C4" s="18"/>
      <c r="D4" s="18" t="s">
        <v>24</v>
      </c>
      <c r="E4" s="18"/>
      <c r="F4" s="18" t="s">
        <v>28</v>
      </c>
      <c r="G4" s="18"/>
      <c r="H4" s="18" t="s">
        <v>32</v>
      </c>
      <c r="I4" s="18"/>
      <c r="J4" s="18" t="s">
        <v>85</v>
      </c>
      <c r="K4" s="18"/>
    </row>
    <row r="5" customFormat="false" ht="19.5" hidden="false" customHeight="true" outlineLevel="0" collapsed="false">
      <c r="B5" s="19" t="n">
        <f aca="false">COUNTA('Assessment Checklist'!B2:B20)</f>
        <v>19</v>
      </c>
      <c r="C5" s="19"/>
      <c r="D5" s="19" t="n">
        <f aca="false">COUNTIF('Assessment Checklist'!E2:E20,"Competent")</f>
        <v>0</v>
      </c>
      <c r="E5" s="19"/>
      <c r="F5" s="19" t="n">
        <f aca="false">COUNTIF('Assessment Checklist'!E2:E20,"Needs Improvement")</f>
        <v>0</v>
      </c>
      <c r="G5" s="19"/>
      <c r="H5" s="19" t="n">
        <f aca="false">COUNTIF('Assessment Checklist'!E2:E20,"Not Competent")</f>
        <v>0</v>
      </c>
      <c r="I5" s="19"/>
      <c r="J5" s="19" t="n">
        <f aca="false">IFERROR(SUM('Assessment Checklist'!F2:F20)/COUNTA('Assessment Checklist'!B2:B20)*100,0)</f>
        <v>0</v>
      </c>
      <c r="K5" s="19"/>
    </row>
    <row r="6" customFormat="false" ht="19.5" hidden="false" customHeight="true" outlineLevel="0" collapsed="false">
      <c r="B6" s="19"/>
      <c r="C6" s="19"/>
      <c r="D6" s="19"/>
      <c r="E6" s="19"/>
      <c r="F6" s="19"/>
      <c r="G6" s="19"/>
      <c r="H6" s="19"/>
      <c r="I6" s="19"/>
      <c r="J6" s="19"/>
      <c r="K6" s="19"/>
    </row>
    <row r="9" customFormat="false" ht="24" hidden="false" customHeight="true" outlineLevel="0" collapsed="false">
      <c r="B9" s="20" t="s">
        <v>86</v>
      </c>
      <c r="C9" s="20"/>
      <c r="D9" s="20"/>
      <c r="E9" s="20"/>
      <c r="F9" s="20"/>
      <c r="G9" s="20"/>
    </row>
    <row r="10" customFormat="false" ht="15" hidden="false" customHeight="false" outlineLevel="0" collapsed="false">
      <c r="B10" s="14" t="s">
        <v>55</v>
      </c>
      <c r="C10" s="14" t="s">
        <v>87</v>
      </c>
      <c r="D10" s="14" t="s">
        <v>24</v>
      </c>
      <c r="E10" s="14" t="s">
        <v>88</v>
      </c>
      <c r="F10" s="14" t="s">
        <v>89</v>
      </c>
      <c r="G10" s="14" t="s">
        <v>90</v>
      </c>
    </row>
    <row r="11" customFormat="false" ht="15" hidden="false" customHeight="false" outlineLevel="0" collapsed="false">
      <c r="B11" s="16" t="s">
        <v>26</v>
      </c>
      <c r="C11" s="15" t="n">
        <f aca="false">COUNTIF('Assessment Checklist'!B2:B20,"Technical Skills")</f>
        <v>5</v>
      </c>
      <c r="D11" s="15" t="n">
        <f aca="false">COUNTIFS('Assessment Checklist'!B2:B20,"Technical Skills",'Assessment Checklist'!E2:E20,"Competent")</f>
        <v>0</v>
      </c>
      <c r="E11" s="15" t="n">
        <f aca="false">COUNTIFS('Assessment Checklist'!B2:B20,"Technical Skills",'Assessment Checklist'!E2:E20,"Needs Improvement")</f>
        <v>0</v>
      </c>
      <c r="F11" s="15" t="n">
        <f aca="false">COUNTIFS('Assessment Checklist'!B2:B20,"Technical Skills",'Assessment Checklist'!E2:E20,"Not Competent")</f>
        <v>0</v>
      </c>
      <c r="G11" s="17" t="n">
        <f aca="false">IFERROR(D11/C11*100,0)</f>
        <v>0</v>
      </c>
    </row>
    <row r="12" customFormat="false" ht="23.85" hidden="false" customHeight="false" outlineLevel="0" collapsed="false">
      <c r="B12" s="16" t="s">
        <v>30</v>
      </c>
      <c r="C12" s="15" t="n">
        <f aca="false">COUNTIF('Assessment Checklist'!B2:B20,"Quality Management")</f>
        <v>3</v>
      </c>
      <c r="D12" s="15" t="n">
        <f aca="false">COUNTIFS('Assessment Checklist'!B2:B20,"Quality Management",'Assessment Checklist'!E2:E20,"Competent")</f>
        <v>0</v>
      </c>
      <c r="E12" s="15" t="n">
        <f aca="false">COUNTIFS('Assessment Checklist'!B2:B20,"Quality Management",'Assessment Checklist'!E2:E20,"Needs Improvement")</f>
        <v>0</v>
      </c>
      <c r="F12" s="15" t="n">
        <f aca="false">COUNTIFS('Assessment Checklist'!B2:B20,"Quality Management",'Assessment Checklist'!E2:E20,"Not Competent")</f>
        <v>0</v>
      </c>
      <c r="G12" s="17" t="n">
        <f aca="false">IFERROR(D12/C12*100,0)</f>
        <v>0</v>
      </c>
    </row>
    <row r="13" customFormat="false" ht="15" hidden="false" customHeight="false" outlineLevel="0" collapsed="false">
      <c r="B13" s="16" t="s">
        <v>34</v>
      </c>
      <c r="C13" s="15" t="n">
        <f aca="false">COUNTIF('Assessment Checklist'!B2:B20,"Safety")</f>
        <v>3</v>
      </c>
      <c r="D13" s="15" t="n">
        <f aca="false">COUNTIFS('Assessment Checklist'!B2:B20,"Safety",'Assessment Checklist'!E2:E20,"Competent")</f>
        <v>0</v>
      </c>
      <c r="E13" s="15" t="n">
        <f aca="false">COUNTIFS('Assessment Checklist'!B2:B20,"Safety",'Assessment Checklist'!E2:E20,"Needs Improvement")</f>
        <v>0</v>
      </c>
      <c r="F13" s="15" t="n">
        <f aca="false">COUNTIFS('Assessment Checklist'!B2:B20,"Safety",'Assessment Checklist'!E2:E20,"Not Competent")</f>
        <v>0</v>
      </c>
      <c r="G13" s="17" t="n">
        <f aca="false">IFERROR(D13/C13*100,0)</f>
        <v>0</v>
      </c>
    </row>
    <row r="14" customFormat="false" ht="15" hidden="false" customHeight="false" outlineLevel="0" collapsed="false">
      <c r="B14" s="16" t="s">
        <v>38</v>
      </c>
      <c r="C14" s="15" t="n">
        <f aca="false">COUNTIF('Assessment Checklist'!B2:B20,"Communication")</f>
        <v>2</v>
      </c>
      <c r="D14" s="15" t="n">
        <f aca="false">COUNTIFS('Assessment Checklist'!B2:B20,"Communication",'Assessment Checklist'!E2:E20,"Competent")</f>
        <v>0</v>
      </c>
      <c r="E14" s="15" t="n">
        <f aca="false">COUNTIFS('Assessment Checklist'!B2:B20,"Communication",'Assessment Checklist'!E2:E20,"Needs Improvement")</f>
        <v>0</v>
      </c>
      <c r="F14" s="15" t="n">
        <f aca="false">COUNTIFS('Assessment Checklist'!B2:B20,"Communication",'Assessment Checklist'!E2:E20,"Not Competent")</f>
        <v>0</v>
      </c>
      <c r="G14" s="17" t="n">
        <f aca="false">IFERROR(D14/C14*100,0)</f>
        <v>0</v>
      </c>
    </row>
    <row r="15" customFormat="false" ht="15" hidden="false" customHeight="false" outlineLevel="0" collapsed="false">
      <c r="B15" s="16" t="s">
        <v>41</v>
      </c>
      <c r="C15" s="15" t="n">
        <f aca="false">COUNTIF('Assessment Checklist'!B2:B20,"Knowledge")</f>
        <v>3</v>
      </c>
      <c r="D15" s="15" t="n">
        <f aca="false">COUNTIFS('Assessment Checklist'!B2:B20,"Knowledge",'Assessment Checklist'!E2:E20,"Competent")</f>
        <v>0</v>
      </c>
      <c r="E15" s="15" t="n">
        <f aca="false">COUNTIFS('Assessment Checklist'!B2:B20,"Knowledge",'Assessment Checklist'!E2:E20,"Needs Improvement")</f>
        <v>0</v>
      </c>
      <c r="F15" s="15" t="n">
        <f aca="false">COUNTIFS('Assessment Checklist'!B2:B20,"Knowledge",'Assessment Checklist'!E2:E20,"Not Competent")</f>
        <v>0</v>
      </c>
      <c r="G15" s="17" t="n">
        <f aca="false">IFERROR(D15/C15*100,0)</f>
        <v>0</v>
      </c>
    </row>
    <row r="16" customFormat="false" ht="23.85" hidden="false" customHeight="false" outlineLevel="0" collapsed="false">
      <c r="B16" s="16" t="s">
        <v>42</v>
      </c>
      <c r="C16" s="15" t="n">
        <f aca="false">COUNTIF('Assessment Checklist'!B2:B20,"Professional Development")</f>
        <v>3</v>
      </c>
      <c r="D16" s="15" t="n">
        <f aca="false">COUNTIFS('Assessment Checklist'!B2:B20,"Professional Development",'Assessment Checklist'!E2:E20,"Competent")</f>
        <v>0</v>
      </c>
      <c r="E16" s="15" t="n">
        <f aca="false">COUNTIFS('Assessment Checklist'!B2:B20,"Professional Development",'Assessment Checklist'!E2:E20,"Needs Improvement")</f>
        <v>0</v>
      </c>
      <c r="F16" s="15" t="n">
        <f aca="false">COUNTIFS('Assessment Checklist'!B2:B20,"Professional Development",'Assessment Checklist'!E2:E20,"Not Competent")</f>
        <v>0</v>
      </c>
      <c r="G16" s="17" t="n">
        <f aca="false">IFERROR(D16/C16*100,0)</f>
        <v>0</v>
      </c>
    </row>
    <row r="22" customFormat="false" ht="24" hidden="false" customHeight="true" outlineLevel="0" collapsed="false">
      <c r="B22" s="20" t="s">
        <v>91</v>
      </c>
      <c r="C22" s="20"/>
      <c r="D22" s="20"/>
      <c r="E22" s="20"/>
      <c r="F22" s="20"/>
      <c r="G22" s="20"/>
    </row>
    <row r="23" customFormat="false" ht="15" hidden="false" customHeight="false" outlineLevel="0" collapsed="false">
      <c r="B23" s="14" t="s">
        <v>58</v>
      </c>
      <c r="C23" s="14" t="s">
        <v>92</v>
      </c>
      <c r="D23" s="14" t="s">
        <v>93</v>
      </c>
    </row>
    <row r="24" customFormat="false" ht="15" hidden="false" customHeight="false" outlineLevel="0" collapsed="false">
      <c r="B24" s="16" t="s">
        <v>24</v>
      </c>
      <c r="C24" s="21" t="n">
        <f aca="false">COUNTIF('Assessment Checklist'!E2:E20,"Competent")</f>
        <v>0</v>
      </c>
      <c r="D24" s="21" t="n">
        <f aca="false">IFERROR(C24/COUNTA('Assessment Checklist'!B2:B20)*100,0)</f>
        <v>0</v>
      </c>
    </row>
    <row r="25" customFormat="false" ht="23.85" hidden="false" customHeight="false" outlineLevel="0" collapsed="false">
      <c r="B25" s="16" t="s">
        <v>28</v>
      </c>
      <c r="C25" s="21" t="n">
        <f aca="false">COUNTIF('Assessment Checklist'!E2:E20,"Needs Improvement")</f>
        <v>0</v>
      </c>
      <c r="D25" s="21" t="n">
        <f aca="false">IFERROR(C25/COUNTA('Assessment Checklist'!B2:B20)*100,0)</f>
        <v>0</v>
      </c>
    </row>
    <row r="26" customFormat="false" ht="15" hidden="false" customHeight="false" outlineLevel="0" collapsed="false">
      <c r="B26" s="16" t="s">
        <v>32</v>
      </c>
      <c r="C26" s="21" t="n">
        <f aca="false">COUNTIF('Assessment Checklist'!E2:E20,"Not Competent")</f>
        <v>0</v>
      </c>
      <c r="D26" s="21" t="n">
        <f aca="false">IFERROR(C26/COUNTA('Assessment Checklist'!B2:B20)*100,0)</f>
        <v>0</v>
      </c>
    </row>
    <row r="27" customFormat="false" ht="15" hidden="false" customHeight="false" outlineLevel="0" collapsed="false">
      <c r="B27" s="16" t="s">
        <v>36</v>
      </c>
      <c r="C27" s="21" t="n">
        <f aca="false">COUNTIF('Assessment Checklist'!E2:E20,"N/A")</f>
        <v>0</v>
      </c>
      <c r="D27" s="21" t="n">
        <f aca="false">IFERROR(C27/COUNTA('Assessment Checklist'!B2:B20)*100,0)</f>
        <v>0</v>
      </c>
    </row>
  </sheetData>
  <mergeCells count="13">
    <mergeCell ref="B2:L2"/>
    <mergeCell ref="B4:C4"/>
    <mergeCell ref="D4:E4"/>
    <mergeCell ref="F4:G4"/>
    <mergeCell ref="H4:I4"/>
    <mergeCell ref="J4:K4"/>
    <mergeCell ref="B5:C6"/>
    <mergeCell ref="D5:E6"/>
    <mergeCell ref="F5:G6"/>
    <mergeCell ref="H5:I6"/>
    <mergeCell ref="J5:K6"/>
    <mergeCell ref="B9:G9"/>
    <mergeCell ref="B22:G22"/>
  </mergeCells>
  <conditionalFormatting sqref="G11:G16">
    <cfRule type="dataBar" priority="2">
      <dataBar showValue="1" minLength="10" maxLength="90">
        <cfvo type="num" val="0"/>
        <cfvo type="num" val="100"/>
        <color rgb="FF087F83"/>
      </dataBar>
      <extLst>
        <ext xmlns:x14="http://schemas.microsoft.com/office/spreadsheetml/2009/9/main" uri="{B025F937-C7B1-47D3-B67F-A62EFF666E3E}">
          <x14:id>{A1BFF3DD-FACB-43B7-8090-CC375BBA1680}</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A1BFF3DD-FACB-43B7-8090-CC375BBA1680}">
            <x14:dataBar minLength="10" maxLength="90" axisPosition="none" gradient="true">
              <x14:cfvo type="num">
                <xm:f>0</xm:f>
              </x14:cfvo>
              <x14:cfvo type="num">
                <xm:f>100</xm:f>
              </x14:cfvo>
              <x14:negativeFillColor rgb="FF087F83"/>
              <x14:axisColor rgb="FF000000"/>
            </x14:dataBar>
          </x14:cfRule>
          <xm:sqref>G11:G16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2026-10-07T15:54:23Z</dcterms:created>
  <dc:creator>openpyxl</dc:creator>
  <dc:description/>
  <dc:language>en-US</dc:language>
  <cp:lastModifiedBy/>
  <dcterms:modified xsi:type="dcterms:W3CDTF">2026-10-07T15:54:41Z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