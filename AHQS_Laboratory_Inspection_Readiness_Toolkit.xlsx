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olors1.xml" ContentType="application/vnd.ms-office.chartcolorstyle+xml"/>
  <Override PartName="/xl/charts/style2.xml" ContentType="application/vnd.ms-office.chartstyle+xml"/>
  <Override PartName="/xl/charts/colors4.xml" ContentType="application/vnd.ms-office.chartcolor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style1.xml" ContentType="application/vnd.ms-office.chartstyle+xml"/>
  <Override PartName="/xl/charts/colors3.xml" ContentType="application/vnd.ms-office.chartcolorstyle+xml"/>
  <Override PartName="/xl/charts/chart1.xml" ContentType="application/vnd.openxmlformats-officedocument.drawingml.chart+xml"/>
  <Override PartName="/xl/charts/style4.xml" ContentType="application/vnd.ms-office.chart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Instructions" sheetId="1" state="visible" r:id="rId3"/>
    <sheet name="Executive Summary" sheetId="2" state="visible" r:id="rId4"/>
    <sheet name="Dashboard" sheetId="3" state="visible" r:id="rId5"/>
    <sheet name="Assessment Setup" sheetId="4" state="visible" r:id="rId6"/>
    <sheet name="Master Audit Tool" sheetId="5" state="visible" r:id="rId7"/>
    <sheet name="Gap Register" sheetId="6" state="visible" r:id="rId8"/>
    <sheet name="CAPA Action Plan" sheetId="7" state="visible" r:id="rId9"/>
    <sheet name="Evidence Tracker" sheetId="8" state="visible" r:id="rId10"/>
    <sheet name="Competency &amp; Training" sheetId="9" state="visible" r:id="rId11"/>
    <sheet name="Equipment, QC &amp; PT" sheetId="10" state="visible" r:id="rId12"/>
    <sheet name="Document Control" sheetId="11" state="visible" r:id="rId13"/>
    <sheet name="Internal Audit &amp; Tracer" sheetId="12" state="visible" r:id="rId14"/>
    <sheet name="Mgmt Review &amp; Sustain" sheetId="13" state="visible" r:id="rId15"/>
    <sheet name="Standards Crosswalk" sheetId="14" state="visible" r:id="rId16"/>
    <sheet name="Lists &amp; Calculations" sheetId="15" state="visible" r:id="rId17"/>
    <sheet name="Sources &amp; Disclaimer" sheetId="16" state="visible" r:id="rId18"/>
  </sheets>
  <definedNames>
    <definedName function="false" hidden="true" localSheetId="6" name="_xlnm._FilterDatabase" vbProcedure="false">'CAPA Action Plan'!$B$4:$O$54</definedName>
    <definedName function="false" hidden="true" localSheetId="8" name="_xlnm._FilterDatabase" vbProcedure="false">'Competency &amp; Training'!$B$4:$L$29</definedName>
    <definedName function="false" hidden="true" localSheetId="10" name="_xlnm._FilterDatabase" vbProcedure="false">'Document Control'!$B$4:$K$44</definedName>
    <definedName function="false" hidden="true" localSheetId="9" name="_xlnm._FilterDatabase" vbProcedure="false">'Equipment, QC &amp; PT'!$B$4:$M$34</definedName>
    <definedName function="false" hidden="true" localSheetId="7" name="_xlnm._FilterDatabase" vbProcedure="false">'Evidence Tracker'!$B$4:$J$64</definedName>
    <definedName function="false" hidden="true" localSheetId="5" name="_xlnm._FilterDatabase" vbProcedure="false">'Gap Register'!$B$4:$M$54</definedName>
    <definedName function="false" hidden="true" localSheetId="11" name="_xlnm._FilterDatabase" vbProcedure="false">'Internal Audit &amp; Tracer'!$B$4:$L$29</definedName>
    <definedName function="false" hidden="true" localSheetId="4" name="_xlnm._FilterDatabase" vbProcedure="false">'Master Audit Tool'!$B$4:$P$151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<sst xmlns="http://schemas.openxmlformats.org/spreadsheetml/2006/main" count="1836" uniqueCount="1211">
  <si>
    <t xml:space="preserve">AHQS LABORATORY INSPECTION READINESS TOOLKIT</t>
  </si>
  <si>
    <t xml:space="preserve">Accelerate Healthcare Quality Solutions</t>
  </si>
  <si>
    <t xml:space="preserve">Independent Healthcare Quality, Accreditation &amp; Laboratory Excellence Support</t>
  </si>
  <si>
    <t xml:space="preserve">══════════════════════════════════════════════════════════════════════════════════════════</t>
  </si>
  <si>
    <t xml:space="preserve">PURPOSE</t>
  </si>
  <si>
    <t xml:space="preserve">This toolkit provides laboratories with a structured, framework-driven approach to
accreditation readiness. It follows the AHQS methodology: Assess → Prioritize → Improve → Sustain.
Use it to identify gaps, track corrective actions, organize evidence, and demonstrate
sustained compliance across ISO 15189, CAP, JCI, and AABB accreditation pathways.</t>
  </si>
  <si>
    <t xml:space="preserve">THE AHQS FRAMEWORK</t>
  </si>
  <si>
    <t xml:space="preserve">1. ASSESS</t>
  </si>
  <si>
    <t xml:space="preserve">Evaluate current compliance against accreditation requirements. Score each area as Compliant, Partial, Non-Compliant, or Not Applicable.</t>
  </si>
  <si>
    <t xml:space="preserve">2. PRIORITIZE</t>
  </si>
  <si>
    <t xml:space="preserve">Identify gaps and assess risk using severity and likelihood scoring. Focus on high-risk areas first.</t>
  </si>
  <si>
    <t xml:space="preserve">3. IMPROVE</t>
  </si>
  <si>
    <t xml:space="preserve">Implement corrective and preventive actions. Track progress through the CAPA Action Plan.</t>
  </si>
  <si>
    <t xml:space="preserve">4. SUSTAIN</t>
  </si>
  <si>
    <t xml:space="preserve">Monitor ongoing compliance through internal audits, management review, and quality indicators.</t>
  </si>
  <si>
    <t xml:space="preserve">HOW TO USE THIS TOOLKIT</t>
  </si>
  <si>
    <t xml:space="preserve">1. Start with the Assessment Setup sheet — enter your organization details and target standard(s).</t>
  </si>
  <si>
    <t xml:space="preserve">2. Complete the Master Audit Tool — score each requirement against your current state.</t>
  </si>
  <si>
    <t xml:space="preserve">3. Review the Gap Register — gaps are identified based on your audit responses.</t>
  </si>
  <si>
    <t xml:space="preserve">4. Use the CAPA Action Plan to track corrective actions for each identified gap.</t>
  </si>
  <si>
    <t xml:space="preserve">5. Use the Evidence Tracker to organize documents, policies, and records for inspection.</t>
  </si>
  <si>
    <t xml:space="preserve">6. Complete the Competency, Equipment, and Document Control trackers.</t>
  </si>
  <si>
    <t xml:space="preserve">7. Review the Dashboard for a visual summary of your readiness status.</t>
  </si>
  <si>
    <t xml:space="preserve">8. Use the Executive Summary for leadership briefings.</t>
  </si>
  <si>
    <t xml:space="preserve">9. Conduct Internal Audits &amp; Tracer walkthroughs to test readiness.</t>
  </si>
  <si>
    <t xml:space="preserve">10. Review the Management Review &amp; Sustain sheet to ensure ongoing compliance.</t>
  </si>
  <si>
    <t xml:space="preserve">  Compliant (Score: 1.0) — Full compliance demonstrated with documented evidence</t>
  </si>
  <si>
    <t xml:space="preserve">  Partial (Score: 0.5) — Partial compliance — some elements in place but gaps remain</t>
  </si>
  <si>
    <t xml:space="preserve">  Non-Compliant (Score: 0.0) — Requirement not met or no evidence available</t>
  </si>
  <si>
    <t xml:space="preserve">  Not Applicable (Score: N/A) — Requirement does not apply to the laboratory's scope</t>
  </si>
  <si>
    <t xml:space="preserve">This toolkit supports readiness preparation and does not replace official accreditation standards, legal advice, or accrediting-body requirements. Accreditation and certification decisions remain with the applicable authorized organizations (ISO, CAP, JCI, AABB). All audit questions are general readiness prompts based on publicly available standard concepts — they do not reproduce proprietary standard text.</t>
  </si>
  <si>
    <t xml:space="preserve">DISCLAIMER</t>
  </si>
  <si>
    <t xml:space="preserve">EXECUTIVE SUMMARY</t>
  </si>
  <si>
    <t xml:space="preserve">Laboratory Inspection Readiness — Leadership Overview</t>
  </si>
  <si>
    <t xml:space="preserve">Organization:</t>
  </si>
  <si>
    <t xml:space="preserve">Laboratory/Site:</t>
  </si>
  <si>
    <t xml:space="preserve">Assessment Date:</t>
  </si>
  <si>
    <t xml:space="preserve">Target Standard(s):</t>
  </si>
  <si>
    <t xml:space="preserve">KEY READINESS METRICS</t>
  </si>
  <si>
    <t xml:space="preserve">Total Audit Items</t>
  </si>
  <si>
    <t xml:space="preserve">Compliant Items</t>
  </si>
  <si>
    <t xml:space="preserve">Partial Items</t>
  </si>
  <si>
    <t xml:space="preserve">Non-Compliant Items</t>
  </si>
  <si>
    <t xml:space="preserve">Not Applicable</t>
  </si>
  <si>
    <t xml:space="preserve">Pending Assessment</t>
  </si>
  <si>
    <t xml:space="preserve">OVERALL READINESS SCORE</t>
  </si>
  <si>
    <t xml:space="preserve">READINESS STATUS</t>
  </si>
  <si>
    <t xml:space="preserve">GAP SUMMARY</t>
  </si>
  <si>
    <t xml:space="preserve">Total Gaps Identified:</t>
  </si>
  <si>
    <t xml:space="preserve">High-Risk Gaps:</t>
  </si>
  <si>
    <t xml:space="preserve">Overdue CAPAs:</t>
  </si>
  <si>
    <t xml:space="preserve">EXECUTIVE NARRATIVE</t>
  </si>
  <si>
    <t xml:space="preserve">Complete the audit tool to generate readiness metrics automatically. The overall readiness score, gap count, and CAPA status will populate here based on the data entered in the Master Audit Tool and Gap Register.</t>
  </si>
  <si>
    <t xml:space="preserve">READINESS DASHBOARD</t>
  </si>
  <si>
    <t xml:space="preserve">Compliance Status Distribution</t>
  </si>
  <si>
    <t xml:space="preserve">Readiness by Domain</t>
  </si>
  <si>
    <t xml:space="preserve">Status</t>
  </si>
  <si>
    <t xml:space="preserve">Count</t>
  </si>
  <si>
    <t xml:space="preserve">Percentage</t>
  </si>
  <si>
    <t xml:space="preserve">Domain</t>
  </si>
  <si>
    <t xml:space="preserve">Readiness %</t>
  </si>
  <si>
    <t xml:space="preserve">Compliant</t>
  </si>
  <si>
    <t xml:space="preserve">Quality Management System</t>
  </si>
  <si>
    <t xml:space="preserve">Partial</t>
  </si>
  <si>
    <t xml:space="preserve">Document Control</t>
  </si>
  <si>
    <t xml:space="preserve">Non-Compliant</t>
  </si>
  <si>
    <t xml:space="preserve">Personnel Competency</t>
  </si>
  <si>
    <t xml:space="preserve">Equipment &amp; Instrumentation</t>
  </si>
  <si>
    <t xml:space="preserve">Pending</t>
  </si>
  <si>
    <t xml:space="preserve">Method Validation &amp; Verification</t>
  </si>
  <si>
    <t xml:space="preserve">Sample Management</t>
  </si>
  <si>
    <t xml:space="preserve">Examination Procedures</t>
  </si>
  <si>
    <t xml:space="preserve">Quality Control</t>
  </si>
  <si>
    <t xml:space="preserve">External Quality Assessment (PT/EQA)</t>
  </si>
  <si>
    <t xml:space="preserve">Information Management (LIS)</t>
  </si>
  <si>
    <t xml:space="preserve">Facility &amp; Safety</t>
  </si>
  <si>
    <t xml:space="preserve">Transfusion Medicine</t>
  </si>
  <si>
    <t xml:space="preserve">OVERALL</t>
  </si>
  <si>
    <t xml:space="preserve">Gap Severity Distribution</t>
  </si>
  <si>
    <t xml:space="preserve">CAPA Status Distribution</t>
  </si>
  <si>
    <t xml:space="preserve">Severity</t>
  </si>
  <si>
    <t xml:space="preserve">CAPA Status</t>
  </si>
  <si>
    <t xml:space="preserve">Critical</t>
  </si>
  <si>
    <t xml:space="preserve">Not Started</t>
  </si>
  <si>
    <t xml:space="preserve">High</t>
  </si>
  <si>
    <t xml:space="preserve">In Progress</t>
  </si>
  <si>
    <t xml:space="preserve">Medium</t>
  </si>
  <si>
    <t xml:space="preserve">Complete</t>
  </si>
  <si>
    <t xml:space="preserve">Low</t>
  </si>
  <si>
    <t xml:space="preserve">Verified</t>
  </si>
  <si>
    <t xml:space="preserve">Overdue</t>
  </si>
  <si>
    <t xml:space="preserve">Domain Risk Heatmap</t>
  </si>
  <si>
    <t xml:space="preserve">Avg Risk Score</t>
  </si>
  <si>
    <t xml:space="preserve">ASSESSMENT SETUP</t>
  </si>
  <si>
    <t xml:space="preserve">Field</t>
  </si>
  <si>
    <t xml:space="preserve">Value</t>
  </si>
  <si>
    <t xml:space="preserve">Organization Name</t>
  </si>
  <si>
    <t xml:space="preserve">Laboratory / Site Name</t>
  </si>
  <si>
    <t xml:space="preserve">Laboratory Director</t>
  </si>
  <si>
    <t xml:space="preserve">Quality Manager</t>
  </si>
  <si>
    <t xml:space="preserve">Assessment Date</t>
  </si>
  <si>
    <t xml:space="preserve">Assessor Name</t>
  </si>
  <si>
    <t xml:space="preserve">Target Accreditation Standard(s)</t>
  </si>
  <si>
    <t xml:space="preserve">ISO 15189 / CAP / JCI / AABB</t>
  </si>
  <si>
    <t xml:space="preserve">Laboratory Scope</t>
  </si>
  <si>
    <t xml:space="preserve">Number of Staff</t>
  </si>
  <si>
    <t xml:space="preserve">Number of Departments/Sections</t>
  </si>
  <si>
    <t xml:space="preserve">Previous Accreditation Date</t>
  </si>
  <si>
    <t xml:space="preserve">Next Survey Date</t>
  </si>
  <si>
    <t xml:space="preserve">DOMAIN WEIGHTS (for weighted readiness score)</t>
  </si>
  <si>
    <t xml:space="preserve">Weight (%)</t>
  </si>
  <si>
    <t xml:space="preserve">TOTAL</t>
  </si>
  <si>
    <t xml:space="preserve">MASTER AUDIT TOOL — COMPLIANCE ASSESSMENT</t>
  </si>
  <si>
    <t xml:space="preserve">Gap ID</t>
  </si>
  <si>
    <t xml:space="preserve">Phase</t>
  </si>
  <si>
    <t xml:space="preserve">Requirement Area</t>
  </si>
  <si>
    <t xml:space="preserve">Audit Question</t>
  </si>
  <si>
    <t xml:space="preserve">Applicable Standard(s)</t>
  </si>
  <si>
    <t xml:space="preserve">Evidence Expected</t>
  </si>
  <si>
    <t xml:space="preserve">Score</t>
  </si>
  <si>
    <t xml:space="preserve">Likelihood</t>
  </si>
  <si>
    <t xml:space="preserve">Risk Score</t>
  </si>
  <si>
    <t xml:space="preserve">Owner</t>
  </si>
  <si>
    <t xml:space="preserve">Due Date</t>
  </si>
  <si>
    <t xml:space="preserve">Notes</t>
  </si>
  <si>
    <t xml:space="preserve">GAP-001</t>
  </si>
  <si>
    <t xml:space="preserve">Assess</t>
  </si>
  <si>
    <t xml:space="preserve">QMS Design</t>
  </si>
  <si>
    <t xml:space="preserve">Is there a documented quality management system (QMS) covering all laboratory activities?</t>
  </si>
  <si>
    <t xml:space="preserve">ISO 15189, CAP, JCI</t>
  </si>
  <si>
    <t xml:space="preserve">Quality manual, QMS policy documents</t>
  </si>
  <si>
    <t xml:space="preserve">GAP-002</t>
  </si>
  <si>
    <t xml:space="preserve">Quality Policy</t>
  </si>
  <si>
    <t xml:space="preserve">Is there a quality policy signed by laboratory leadership and communicated to all staff?</t>
  </si>
  <si>
    <t xml:space="preserve">Signed quality policy document</t>
  </si>
  <si>
    <t xml:space="preserve">GAP-003</t>
  </si>
  <si>
    <t xml:space="preserve">Quality Objectives</t>
  </si>
  <si>
    <t xml:space="preserve">Are measurable quality objectives established, monitored, and reviewed at defined intervals?</t>
  </si>
  <si>
    <t xml:space="preserve">ISO 15189, CAP</t>
  </si>
  <si>
    <t xml:space="preserve">Quality objectives document with KPIs</t>
  </si>
  <si>
    <t xml:space="preserve">GAP-004</t>
  </si>
  <si>
    <t xml:space="preserve">Organizational Structure</t>
  </si>
  <si>
    <t xml:space="preserve">Is the laboratory organizational structure defined with clear roles and responsibilities?</t>
  </si>
  <si>
    <t xml:space="preserve">Organizational chart, job descriptions</t>
  </si>
  <si>
    <t xml:space="preserve">GAP-005</t>
  </si>
  <si>
    <t xml:space="preserve">Leadership Commitment</t>
  </si>
  <si>
    <t xml:space="preserve">Is there evidence of leadership commitment to quality (resource allocation, management engagement)?</t>
  </si>
  <si>
    <t xml:space="preserve">Management meeting minutes, resource allocation records</t>
  </si>
  <si>
    <t xml:space="preserve">GAP-006</t>
  </si>
  <si>
    <t xml:space="preserve">QMS Scope</t>
  </si>
  <si>
    <t xml:space="preserve">Does the QMS scope cover all laboratory activities including point-of-care testing if applicable?</t>
  </si>
  <si>
    <t xml:space="preserve">Scope statement in quality manual</t>
  </si>
  <si>
    <t xml:space="preserve">GAP-007</t>
  </si>
  <si>
    <t xml:space="preserve">Continual Improvement</t>
  </si>
  <si>
    <t xml:space="preserve">Is there a documented process for continual improvement of the QMS?</t>
  </si>
  <si>
    <t xml:space="preserve">Improvement process procedure, improvement log</t>
  </si>
  <si>
    <t xml:space="preserve">GAP-008</t>
  </si>
  <si>
    <t xml:space="preserve">Risk Management</t>
  </si>
  <si>
    <t xml:space="preserve">Is there a documented risk management process integrated into QMS activities?</t>
  </si>
  <si>
    <t xml:space="preserve">Risk management procedure, risk register</t>
  </si>
  <si>
    <t xml:space="preserve">GAP-009</t>
  </si>
  <si>
    <t xml:space="preserve">Ethical Conduct</t>
  </si>
  <si>
    <t xml:space="preserve">Is there a documented code of conduct or ethics policy for laboratory personnel?</t>
  </si>
  <si>
    <t xml:space="preserve">ISO 15189, JCI</t>
  </si>
  <si>
    <t xml:space="preserve">Code of conduct document</t>
  </si>
  <si>
    <t xml:space="preserve">GAP-010</t>
  </si>
  <si>
    <t xml:space="preserve">Conflict of Interest</t>
  </si>
  <si>
    <t xml:space="preserve">Are conflict of interest declarations maintained for all laboratory personnel?</t>
  </si>
  <si>
    <t xml:space="preserve">Conflict of interest declarations</t>
  </si>
  <si>
    <t xml:space="preserve">GAP-011</t>
  </si>
  <si>
    <t xml:space="preserve">SOP Management</t>
  </si>
  <si>
    <t xml:space="preserve">Are all laboratory procedures documented in controlled SOPs with version control?</t>
  </si>
  <si>
    <t xml:space="preserve">ISO 15189, CAP, JCI, AABB</t>
  </si>
  <si>
    <t xml:space="preserve">SOP register, version-controlled documents</t>
  </si>
  <si>
    <t xml:space="preserve">GAP-012</t>
  </si>
  <si>
    <t xml:space="preserve">Document Approval</t>
  </si>
  <si>
    <t xml:space="preserve">Are documents reviewed and approved by authorized personnel before implementation?</t>
  </si>
  <si>
    <t xml:space="preserve">Approval signatures, document control log</t>
  </si>
  <si>
    <t xml:space="preserve">GAP-013</t>
  </si>
  <si>
    <t xml:space="preserve">Document Review</t>
  </si>
  <si>
    <t xml:space="preserve">Are SOPs reviewed at defined intervals (typically annually) and updated when needed?</t>
  </si>
  <si>
    <t xml:space="preserve">Document review schedule and records</t>
  </si>
  <si>
    <t xml:space="preserve">GAP-014</t>
  </si>
  <si>
    <t xml:space="preserve">Obsolete Documents</t>
  </si>
  <si>
    <t xml:space="preserve">Are obsolete documents removed from points of use or clearly marked as obsolete?</t>
  </si>
  <si>
    <t xml:space="preserve">Obsolete document control records</t>
  </si>
  <si>
    <t xml:space="preserve">GAP-015</t>
  </si>
  <si>
    <t xml:space="preserve">External Documents</t>
  </si>
  <si>
    <t xml:space="preserve">Are external documents (standards, manufacturer instructions) controlled and current?</t>
  </si>
  <si>
    <t xml:space="preserve">External document register</t>
  </si>
  <si>
    <t xml:space="preserve">GAP-016</t>
  </si>
  <si>
    <t xml:space="preserve">Document Distribution</t>
  </si>
  <si>
    <t xml:space="preserve">Is there a system to ensure only current versions of documents are available at point of use?</t>
  </si>
  <si>
    <t xml:space="preserve">Document distribution list, master copy register</t>
  </si>
  <si>
    <t xml:space="preserve">GAP-017</t>
  </si>
  <si>
    <t xml:space="preserve">Handwritten Records</t>
  </si>
  <si>
    <t xml:space="preserve">Are handwritten records controlled (e.g., lab notebooks, logbooks) and retained?</t>
  </si>
  <si>
    <t xml:space="preserve">Record retention policy, logbook register</t>
  </si>
  <si>
    <t xml:space="preserve">GAP-018</t>
  </si>
  <si>
    <t xml:space="preserve">Electronic Records</t>
  </si>
  <si>
    <t xml:space="preserve">Are electronic records backed up, access-controlled, and protected from unauthorized changes?</t>
  </si>
  <si>
    <t xml:space="preserve">Backup procedures, access control logs</t>
  </si>
  <si>
    <t xml:space="preserve">GAP-019</t>
  </si>
  <si>
    <t xml:space="preserve">Job Descriptions</t>
  </si>
  <si>
    <t xml:space="preserve">Does each staff member have a current job description defining qualifications and responsibilities?</t>
  </si>
  <si>
    <t xml:space="preserve">Job descriptions on file</t>
  </si>
  <si>
    <t xml:space="preserve">GAP-020</t>
  </si>
  <si>
    <t xml:space="preserve">Qualifications</t>
  </si>
  <si>
    <t xml:space="preserve">Are personnel qualifications verified and documented (education, licenses, certifications)?</t>
  </si>
  <si>
    <t xml:space="preserve">ISO 15189, CAP, AABB</t>
  </si>
  <si>
    <t xml:space="preserve">Personnel files with qualification records</t>
  </si>
  <si>
    <t xml:space="preserve">GAP-021</t>
  </si>
  <si>
    <t xml:space="preserve">Training Records</t>
  </si>
  <si>
    <t xml:space="preserve">Are training records maintained for all laboratory staff (orientation, ongoing)?</t>
  </si>
  <si>
    <t xml:space="preserve">Training logs, competency assessment records</t>
  </si>
  <si>
    <t xml:space="preserve">GAP-022</t>
  </si>
  <si>
    <t xml:space="preserve">Competency Assessment</t>
  </si>
  <si>
    <t xml:space="preserve">Is competency assessed for all testing personnel at defined intervals (initial and ongoing)?</t>
  </si>
  <si>
    <t xml:space="preserve">Competency assessment forms, direct observation records</t>
  </si>
  <si>
    <t xml:space="preserve">GAP-023</t>
  </si>
  <si>
    <t xml:space="preserve">Continuing Education</t>
  </si>
  <si>
    <t xml:space="preserve">Is continuing education documented and tracked for all staff?</t>
  </si>
  <si>
    <t xml:space="preserve">CE records, training logs</t>
  </si>
  <si>
    <t xml:space="preserve">GAP-024</t>
  </si>
  <si>
    <t xml:space="preserve">Staff Authorization</t>
  </si>
  <si>
    <t xml:space="preserve">Are staff formally authorized to perform specific tasks/tests?</t>
  </si>
  <si>
    <t xml:space="preserve">Authorization records, signature logs</t>
  </si>
  <si>
    <t xml:space="preserve">GAP-025</t>
  </si>
  <si>
    <t xml:space="preserve">Performance Evaluation</t>
  </si>
  <si>
    <t xml:space="preserve">Are annual performance evaluations conducted and documented for all staff?</t>
  </si>
  <si>
    <t xml:space="preserve">Performance evaluation records</t>
  </si>
  <si>
    <t xml:space="preserve">GAP-026</t>
  </si>
  <si>
    <t xml:space="preserve">Access Control</t>
  </si>
  <si>
    <t xml:space="preserve">Is access to laboratory areas and systems controlled based on role and training?</t>
  </si>
  <si>
    <t xml:space="preserve">Access control policy, access logs</t>
  </si>
  <si>
    <t xml:space="preserve">GAP-027</t>
  </si>
  <si>
    <t xml:space="preserve">Cross-Training</t>
  </si>
  <si>
    <t xml:space="preserve">Is cross-training documented for personnel performing multiple roles or sections?</t>
  </si>
  <si>
    <t xml:space="preserve">Cross-training records</t>
  </si>
  <si>
    <t xml:space="preserve">GAP-028</t>
  </si>
  <si>
    <t xml:space="preserve">Temporary/Contract Staff</t>
  </si>
  <si>
    <t xml:space="preserve">Are temporary and contract staff qualified, trained, and competency-assessed?</t>
  </si>
  <si>
    <t xml:space="preserve">Contract staff qualification and training records</t>
  </si>
  <si>
    <t xml:space="preserve">GAP-029</t>
  </si>
  <si>
    <t xml:space="preserve">Equipment Inventory</t>
  </si>
  <si>
    <t xml:space="preserve">Is there a complete inventory of all laboratory equipment?</t>
  </si>
  <si>
    <t xml:space="preserve">Equipment register</t>
  </si>
  <si>
    <t xml:space="preserve">GAP-030</t>
  </si>
  <si>
    <t xml:space="preserve">Calibration Records</t>
  </si>
  <si>
    <t xml:space="preserve">Are equipment calibration records maintained and current?</t>
  </si>
  <si>
    <t xml:space="preserve">Calibration certificates, logs</t>
  </si>
  <si>
    <t xml:space="preserve">GAP-031</t>
  </si>
  <si>
    <t xml:space="preserve">Maintenance Records</t>
  </si>
  <si>
    <t xml:space="preserve">Are preventive maintenance records documented for all equipment?</t>
  </si>
  <si>
    <t xml:space="preserve">Maintenance logs, service records</t>
  </si>
  <si>
    <t xml:space="preserve">GAP-032</t>
  </si>
  <si>
    <t xml:space="preserve">Equipment Validation</t>
  </si>
  <si>
    <t xml:space="preserve">Has equipment been validated/verified before use (IQ/OQ/PQ)?</t>
  </si>
  <si>
    <t xml:space="preserve">Installation/operational/performance qualification records</t>
  </si>
  <si>
    <t xml:space="preserve">GAP-033</t>
  </si>
  <si>
    <t xml:space="preserve">Temperature Monitoring</t>
  </si>
  <si>
    <t xml:space="preserve">Are refrigerators, freezers, and incubators temperature-monitored with records?</t>
  </si>
  <si>
    <t xml:space="preserve">Temperature logs, alarm records</t>
  </si>
  <si>
    <t xml:space="preserve">GAP-034</t>
  </si>
  <si>
    <t xml:space="preserve">Equipment Labeling</t>
  </si>
  <si>
    <t xml:space="preserve">Is equipment clearly labeled with calibration status and next due date?</t>
  </si>
  <si>
    <t xml:space="preserve">Equipment labels with calibration status</t>
  </si>
  <si>
    <t xml:space="preserve">GAP-035</t>
  </si>
  <si>
    <t xml:space="preserve">Backup Equipment</t>
  </si>
  <si>
    <t xml:space="preserve">Is there backup equipment available for critical analyzers?</t>
  </si>
  <si>
    <t xml:space="preserve">Backup equipment inventory</t>
  </si>
  <si>
    <t xml:space="preserve">GAP-036</t>
  </si>
  <si>
    <t xml:space="preserve">Equipment Decommissioning</t>
  </si>
  <si>
    <t xml:space="preserve">Is there a process for decommissioning equipment including data removal?</t>
  </si>
  <si>
    <t xml:space="preserve">Decommissioning records</t>
  </si>
  <si>
    <t xml:space="preserve">GAP-037</t>
  </si>
  <si>
    <t xml:space="preserve">Method Validation</t>
  </si>
  <si>
    <t xml:space="preserve">Are analytical methods validated before clinical use?</t>
  </si>
  <si>
    <t xml:space="preserve">Validation reports, validation protocols</t>
  </si>
  <si>
    <t xml:space="preserve">GAP-038</t>
  </si>
  <si>
    <t xml:space="preserve">Verification Records</t>
  </si>
  <si>
    <t xml:space="preserve">Are verification studies documented for commercially available methods?</t>
  </si>
  <si>
    <t xml:space="preserve">Verification reports</t>
  </si>
  <si>
    <t xml:space="preserve">GAP-039</t>
  </si>
  <si>
    <t xml:space="preserve">Reference Ranges</t>
  </si>
  <si>
    <t xml:space="preserve">Are reference ranges established or verified for the patient population?</t>
  </si>
  <si>
    <t xml:space="preserve">Reference range studies</t>
  </si>
  <si>
    <t xml:space="preserve">GAP-040</t>
  </si>
  <si>
    <t xml:space="preserve">Analytical Performance</t>
  </si>
  <si>
    <t xml:space="preserve">Are precision, accuracy, and linearity documented for each method?</t>
  </si>
  <si>
    <t xml:space="preserve">Performance verification data</t>
  </si>
  <si>
    <t xml:space="preserve">GAP-041</t>
  </si>
  <si>
    <t xml:space="preserve">Interference Studies</t>
  </si>
  <si>
    <t xml:space="preserve">Are interference studies documented where applicable?</t>
  </si>
  <si>
    <t xml:space="preserve">Interference study reports</t>
  </si>
  <si>
    <t xml:space="preserve">GAP-042</t>
  </si>
  <si>
    <t xml:space="preserve">Reportable Range</t>
  </si>
  <si>
    <t xml:space="preserve">Is the reportable range verified and documented for each method?</t>
  </si>
  <si>
    <t xml:space="preserve">Reportable range verification records</t>
  </si>
  <si>
    <t xml:space="preserve">GAP-043</t>
  </si>
  <si>
    <t xml:space="preserve">Method Comparison</t>
  </si>
  <si>
    <t xml:space="preserve">When methods change, is method comparison documented?</t>
  </si>
  <si>
    <t xml:space="preserve">Method comparison studies</t>
  </si>
  <si>
    <t xml:space="preserve">GAP-044</t>
  </si>
  <si>
    <t xml:space="preserve">Sample Identification</t>
  </si>
  <si>
    <t xml:space="preserve">Is there a sample identification system ensuring positive identification throughout the process?</t>
  </si>
  <si>
    <t xml:space="preserve">Sample labeling policy, procedure</t>
  </si>
  <si>
    <t xml:space="preserve">GAP-045</t>
  </si>
  <si>
    <t xml:space="preserve">Sample Reception</t>
  </si>
  <si>
    <t xml:space="preserve">Are sample reception criteria defined and documented?</t>
  </si>
  <si>
    <t xml:space="preserve">Sample rejection logs, reception criteria</t>
  </si>
  <si>
    <t xml:space="preserve">GAP-046</t>
  </si>
  <si>
    <t xml:space="preserve">Sample Storage</t>
  </si>
  <si>
    <t xml:space="preserve">Are sample storage conditions defined and monitored?</t>
  </si>
  <si>
    <t xml:space="preserve">Storage temperature records</t>
  </si>
  <si>
    <t xml:space="preserve">GAP-047</t>
  </si>
  <si>
    <t xml:space="preserve">Sample Disposal</t>
  </si>
  <si>
    <t xml:space="preserve">Is sample disposal documented and compliant with regulations?</t>
  </si>
  <si>
    <t xml:space="preserve">Disposal records</t>
  </si>
  <si>
    <t xml:space="preserve">GAP-048</t>
  </si>
  <si>
    <t xml:space="preserve">Sample Transport</t>
  </si>
  <si>
    <t xml:space="preserve">Are sample transport conditions defined and monitored (temperature, time)?</t>
  </si>
  <si>
    <t xml:space="preserve">Transport temperature logs, courier agreements</t>
  </si>
  <si>
    <t xml:space="preserve">GAP-049</t>
  </si>
  <si>
    <t xml:space="preserve">Sample Rejection</t>
  </si>
  <si>
    <t xml:space="preserve">Are sample rejection criteria documented and rejection logs maintained?</t>
  </si>
  <si>
    <t xml:space="preserve">Sample rejection logs</t>
  </si>
  <si>
    <t xml:space="preserve">GAP-050</t>
  </si>
  <si>
    <t xml:space="preserve">Chain of Custody</t>
  </si>
  <si>
    <t xml:space="preserve">Is chain of custody maintained for legal/sensitive samples?</t>
  </si>
  <si>
    <t xml:space="preserve">Chain of custody records</t>
  </si>
  <si>
    <t xml:space="preserve">GAP-051</t>
  </si>
  <si>
    <t xml:space="preserve">Procedure Manuals</t>
  </si>
  <si>
    <t xml:space="preserve">Are procedure manuals available and current for all tests?</t>
  </si>
  <si>
    <t xml:space="preserve">Procedure manuals with review dates</t>
  </si>
  <si>
    <t xml:space="preserve">GAP-052</t>
  </si>
  <si>
    <t xml:space="preserve">Procedure Review</t>
  </si>
  <si>
    <t xml:space="preserve">Are procedures reviewed annually and updated?</t>
  </si>
  <si>
    <t xml:space="preserve">Annual review signatures</t>
  </si>
  <si>
    <t xml:space="preserve">GAP-053</t>
  </si>
  <si>
    <t xml:space="preserve">Critical Values</t>
  </si>
  <si>
    <t xml:space="preserve">Are critical value lists established, documented, and reviewed?</t>
  </si>
  <si>
    <t xml:space="preserve">Critical value list with review dates</t>
  </si>
  <si>
    <t xml:space="preserve">GAP-054</t>
  </si>
  <si>
    <t xml:space="preserve">Test Menu</t>
  </si>
  <si>
    <t xml:space="preserve">Is the test menu documented and current?</t>
  </si>
  <si>
    <t xml:space="preserve">Test menu document</t>
  </si>
  <si>
    <t xml:space="preserve">GAP-055</t>
  </si>
  <si>
    <t xml:space="preserve">Reflex Testing</t>
  </si>
  <si>
    <t xml:space="preserve">Are reflex testing rules defined and documented?</t>
  </si>
  <si>
    <t xml:space="preserve">Reflex testing protocol</t>
  </si>
  <si>
    <t xml:space="preserve">GAP-056</t>
  </si>
  <si>
    <t xml:space="preserve">Reference Intervals Review</t>
  </si>
  <si>
    <t xml:space="preserve">Are reference intervals reviewed periodically?</t>
  </si>
  <si>
    <t xml:space="preserve">Reference interval review records</t>
  </si>
  <si>
    <t xml:space="preserve">GAP-057</t>
  </si>
  <si>
    <t xml:space="preserve">QC Program</t>
  </si>
  <si>
    <t xml:space="preserve">Is a quality control program implemented for all analytical tests?</t>
  </si>
  <si>
    <t xml:space="preserve">QC charts, Westgard rules application</t>
  </si>
  <si>
    <t xml:space="preserve">GAP-058</t>
  </si>
  <si>
    <t xml:space="preserve">QC Review</t>
  </si>
  <si>
    <t xml:space="preserve">Are QC results reviewed daily by authorized personnel?</t>
  </si>
  <si>
    <t xml:space="preserve">QC review logs</t>
  </si>
  <si>
    <t xml:space="preserve">GAP-059</t>
  </si>
  <si>
    <t xml:space="preserve">Out-of-Control Actions</t>
  </si>
  <si>
    <t xml:space="preserve">Are out-of-control situations documented with corrective actions?</t>
  </si>
  <si>
    <t xml:space="preserve">Corrective action records for QC failures</t>
  </si>
  <si>
    <t xml:space="preserve">GAP-060</t>
  </si>
  <si>
    <t xml:space="preserve">QC Material Storage</t>
  </si>
  <si>
    <t xml:space="preserve">Are QC materials stored and handled according to manufacturer instructions?</t>
  </si>
  <si>
    <t xml:space="preserve">Storage records, handling logs</t>
  </si>
  <si>
    <t xml:space="preserve">GAP-061</t>
  </si>
  <si>
    <t xml:space="preserve">QC Levels</t>
  </si>
  <si>
    <t xml:space="preserve">Are appropriate QC levels run per run (minimum two levels)?</t>
  </si>
  <si>
    <t xml:space="preserve">QC records showing two-level runs</t>
  </si>
  <si>
    <t xml:space="preserve">GAP-062</t>
  </si>
  <si>
    <t xml:space="preserve">QC Target Verification</t>
  </si>
  <si>
    <t xml:space="preserve">Are QC target ranges verified or established using acceptable methodology?</t>
  </si>
  <si>
    <t xml:space="preserve">QC target verification records</t>
  </si>
  <si>
    <t xml:space="preserve">GAP-063</t>
  </si>
  <si>
    <t xml:space="preserve">Batch Review</t>
  </si>
  <si>
    <t xml:space="preserve">Are QC results reviewed before releasing patient results?</t>
  </si>
  <si>
    <t xml:space="preserve">Batch review logs</t>
  </si>
  <si>
    <t xml:space="preserve">GAP-064</t>
  </si>
  <si>
    <t xml:space="preserve">PT Enrollment</t>
  </si>
  <si>
    <t xml:space="preserve">Is the laboratory enrolled in proficiency testing for all applicable tests?</t>
  </si>
  <si>
    <t xml:space="preserve">PT enrollment confirmation</t>
  </si>
  <si>
    <t xml:space="preserve">GAP-065</t>
  </si>
  <si>
    <t xml:space="preserve">PT Results Review</t>
  </si>
  <si>
    <t xml:space="preserve">Are PT results reviewed and documented by the laboratory director?</t>
  </si>
  <si>
    <t xml:space="preserve">PT result review records</t>
  </si>
  <si>
    <t xml:space="preserve">GAP-066</t>
  </si>
  <si>
    <t xml:space="preserve">PT Failures</t>
  </si>
  <si>
    <t xml:space="preserve">Are PT failures investigated with root cause analysis and corrective actions?</t>
  </si>
  <si>
    <t xml:space="preserve">PT failure investigation records</t>
  </si>
  <si>
    <t xml:space="preserve">GAP-067</t>
  </si>
  <si>
    <t xml:space="preserve">PT Frequency</t>
  </si>
  <si>
    <t xml:space="preserve">Is PT performed at the required frequency for all analytes?</t>
  </si>
  <si>
    <t xml:space="preserve">PT schedule and records</t>
  </si>
  <si>
    <t xml:space="preserve">GAP-068</t>
  </si>
  <si>
    <t xml:space="preserve">Alternative Assessment</t>
  </si>
  <si>
    <t xml:space="preserve">For tests without formal PT, is alternative assessment documented?</t>
  </si>
  <si>
    <t xml:space="preserve">Alternative assessment records</t>
  </si>
  <si>
    <t xml:space="preserve">GAP-069</t>
  </si>
  <si>
    <t xml:space="preserve">PT Specimen Handling</t>
  </si>
  <si>
    <t xml:space="preserve">Are PT specimens handled and tested the same as patient samples?</t>
  </si>
  <si>
    <t xml:space="preserve">PT handling procedure, records</t>
  </si>
  <si>
    <t xml:space="preserve">GAP-070</t>
  </si>
  <si>
    <t xml:space="preserve">LIS Validation</t>
  </si>
  <si>
    <t xml:space="preserve">Has the Laboratory Information System been validated for all functions?</t>
  </si>
  <si>
    <t xml:space="preserve">LIS validation records</t>
  </si>
  <si>
    <t xml:space="preserve">GAP-071</t>
  </si>
  <si>
    <t xml:space="preserve">Data Integrity</t>
  </si>
  <si>
    <t xml:space="preserve">Are there procedures to ensure data integrity (access control, backup, audit trail)?</t>
  </si>
  <si>
    <t xml:space="preserve">Access control policy, backup records</t>
  </si>
  <si>
    <t xml:space="preserve">GAP-072</t>
  </si>
  <si>
    <t xml:space="preserve">Report Delivery</t>
  </si>
  <si>
    <t xml:space="preserve">Are critical values reported and documented according to policy?</t>
  </si>
  <si>
    <t xml:space="preserve">Critical value call logs</t>
  </si>
  <si>
    <t xml:space="preserve">GAP-073</t>
  </si>
  <si>
    <t xml:space="preserve">Result Reporting</t>
  </si>
  <si>
    <t xml:space="preserve">Are test results reported accurately and within established turnaround times?</t>
  </si>
  <si>
    <t xml:space="preserve">TAT reports, result delivery logs</t>
  </si>
  <si>
    <t xml:space="preserve">GAP-074</t>
  </si>
  <si>
    <t xml:space="preserve">Auto-Verification</t>
  </si>
  <si>
    <t xml:space="preserve">If auto-verification is used, are rules validated and documented?</t>
  </si>
  <si>
    <t xml:space="preserve">Auto-verification rules and validation records</t>
  </si>
  <si>
    <t xml:space="preserve">GAP-075</t>
  </si>
  <si>
    <t xml:space="preserve">System Downtime</t>
  </si>
  <si>
    <t xml:space="preserve">Is there a documented downtime procedure for LIS failures?</t>
  </si>
  <si>
    <t xml:space="preserve">Downtime procedure, downtime logs</t>
  </si>
  <si>
    <t xml:space="preserve">GAP-076</t>
  </si>
  <si>
    <t xml:space="preserve">Report Format</t>
  </si>
  <si>
    <t xml:space="preserve">Do laboratory reports contain all required elements (patient info, test, result, reference range, date)?</t>
  </si>
  <si>
    <t xml:space="preserve">Sample reports with all required elements</t>
  </si>
  <si>
    <t xml:space="preserve">GAP-077</t>
  </si>
  <si>
    <t xml:space="preserve">Safety Manual</t>
  </si>
  <si>
    <t xml:space="preserve">Is there a laboratory safety manual covering chemical, biological, and physical hazards?</t>
  </si>
  <si>
    <t xml:space="preserve">Safety manual</t>
  </si>
  <si>
    <t xml:space="preserve">GAP-078</t>
  </si>
  <si>
    <t xml:space="preserve">Safety Training</t>
  </si>
  <si>
    <t xml:space="preserve">Is safety training documented for all staff (initial and ongoing)?</t>
  </si>
  <si>
    <t xml:space="preserve">Safety training records</t>
  </si>
  <si>
    <t xml:space="preserve">GAP-079</t>
  </si>
  <si>
    <t xml:space="preserve">Waste Management</t>
  </si>
  <si>
    <t xml:space="preserve">Is laboratory waste managed according to regulations (biohazardous, chemical, sharps)?</t>
  </si>
  <si>
    <t xml:space="preserve">Waste disposal records</t>
  </si>
  <si>
    <t xml:space="preserve">GAP-080</t>
  </si>
  <si>
    <t xml:space="preserve">PPE Availability</t>
  </si>
  <si>
    <t xml:space="preserve">Is PPE available and used appropriately by all staff?</t>
  </si>
  <si>
    <t xml:space="preserve">PPE inventory, usage observations</t>
  </si>
  <si>
    <t xml:space="preserve">GAP-081</t>
  </si>
  <si>
    <t xml:space="preserve">Chemical Inventory</t>
  </si>
  <si>
    <t xml:space="preserve">Is there a chemical inventory with SDS available?</t>
  </si>
  <si>
    <t xml:space="preserve">Chemical inventory, SDS files</t>
  </si>
  <si>
    <t xml:space="preserve">GAP-082</t>
  </si>
  <si>
    <t xml:space="preserve">Emergency Procedures</t>
  </si>
  <si>
    <t xml:space="preserve">Are emergency procedures documented and posted (fire, spill, exposure)?</t>
  </si>
  <si>
    <t xml:space="preserve">Emergency procedures, posted instructions</t>
  </si>
  <si>
    <t xml:space="preserve">GAP-083</t>
  </si>
  <si>
    <t xml:space="preserve">Exposure Control</t>
  </si>
  <si>
    <t xml:space="preserve">Is there an exposure control plan for bloodborne pathogens?</t>
  </si>
  <si>
    <t xml:space="preserve">Exposure control plan, exposure logs</t>
  </si>
  <si>
    <t xml:space="preserve">GAP-084</t>
  </si>
  <si>
    <t xml:space="preserve">Facility Conditions</t>
  </si>
  <si>
    <t xml:space="preserve">Is the laboratory space adequate for the work performed (ventilation, lighting, space)?</t>
  </si>
  <si>
    <t xml:space="preserve">Facility inspection records</t>
  </si>
  <si>
    <t xml:space="preserve">GAP-085</t>
  </si>
  <si>
    <t xml:space="preserve">Blood Bank Procedures</t>
  </si>
  <si>
    <t xml:space="preserve">Are blood bank procedures documented and current?</t>
  </si>
  <si>
    <t xml:space="preserve">AABB, ISO 15189, CAP</t>
  </si>
  <si>
    <t xml:space="preserve">Blood bank procedure manual</t>
  </si>
  <si>
    <t xml:space="preserve">GAP-086</t>
  </si>
  <si>
    <t xml:space="preserve">Transfusion Records</t>
  </si>
  <si>
    <t xml:space="preserve">Are transfusion records complete and traceable from donor to recipient?</t>
  </si>
  <si>
    <t xml:space="preserve">AABB, JCI</t>
  </si>
  <si>
    <t xml:space="preserve">Transfusion records, consent forms</t>
  </si>
  <si>
    <t xml:space="preserve">GAP-087</t>
  </si>
  <si>
    <t xml:space="preserve">Blood Product Storage</t>
  </si>
  <si>
    <t xml:space="preserve">Are blood products stored and monitored according to standards?</t>
  </si>
  <si>
    <t xml:space="preserve">AABB</t>
  </si>
  <si>
    <t xml:space="preserve">Temperature monitoring records</t>
  </si>
  <si>
    <t xml:space="preserve">GAP-088</t>
  </si>
  <si>
    <t xml:space="preserve">Crossmatch Procedures</t>
  </si>
  <si>
    <t xml:space="preserve">Are crossmatch procedures documented and validated?</t>
  </si>
  <si>
    <t xml:space="preserve">AABB, CAP</t>
  </si>
  <si>
    <t xml:space="preserve">Crossmatch procedure, validation records</t>
  </si>
  <si>
    <t xml:space="preserve">GAP-089</t>
  </si>
  <si>
    <t xml:space="preserve">Antibody Identification</t>
  </si>
  <si>
    <t xml:space="preserve">Are antibody identification procedures documented and current?</t>
  </si>
  <si>
    <t xml:space="preserve">Antibody ID procedure</t>
  </si>
  <si>
    <t xml:space="preserve">GAP-090</t>
  </si>
  <si>
    <t xml:space="preserve">Adverse Transfusion Reactions</t>
  </si>
  <si>
    <t xml:space="preserve">Are adverse transfusion reactions documented and investigated?</t>
  </si>
  <si>
    <t xml:space="preserve">Adverse reaction records, investigation reports</t>
  </si>
  <si>
    <t xml:space="preserve">GAP-091</t>
  </si>
  <si>
    <t xml:space="preserve">Blood Product Dispensing</t>
  </si>
  <si>
    <t xml:space="preserve">Is there a documented process for blood product dispensing and administration?</t>
  </si>
  <si>
    <t xml:space="preserve">Dispensing records, administration logs</t>
  </si>
  <si>
    <t xml:space="preserve">GAP-092</t>
  </si>
  <si>
    <t xml:space="preserve">CAPA &amp; Root Cause Analysis</t>
  </si>
  <si>
    <t xml:space="preserve">CAPA System</t>
  </si>
  <si>
    <t xml:space="preserve">Is there a documented CAPA system for managing nonconformities?</t>
  </si>
  <si>
    <t xml:space="preserve">CAPA procedure, CAPA log</t>
  </si>
  <si>
    <t xml:space="preserve">GAP-093</t>
  </si>
  <si>
    <t xml:space="preserve">Root Cause Analysis</t>
  </si>
  <si>
    <t xml:space="preserve">Are root cause analyses conducted for significant nonconformities?</t>
  </si>
  <si>
    <t xml:space="preserve">RCA documentation</t>
  </si>
  <si>
    <t xml:space="preserve">GAP-094</t>
  </si>
  <si>
    <t xml:space="preserve">CAPA Effectiveness</t>
  </si>
  <si>
    <t xml:space="preserve">Are corrective actions verified for effectiveness before closure?</t>
  </si>
  <si>
    <t xml:space="preserve">Effectiveness check records</t>
  </si>
  <si>
    <t xml:space="preserve">GAP-095</t>
  </si>
  <si>
    <t xml:space="preserve">Nonconformity Register</t>
  </si>
  <si>
    <t xml:space="preserve">Is there a nonconformity register tracking all identified nonconformities?</t>
  </si>
  <si>
    <t xml:space="preserve">Nonconformity register/log</t>
  </si>
  <si>
    <t xml:space="preserve">GAP-096</t>
  </si>
  <si>
    <t xml:space="preserve">Trend Analysis</t>
  </si>
  <si>
    <t xml:space="preserve">Is trend analysis performed on nonconformities and CAPAs?</t>
  </si>
  <si>
    <t xml:space="preserve">Trend analysis reports</t>
  </si>
  <si>
    <t xml:space="preserve">GAP-097</t>
  </si>
  <si>
    <t xml:space="preserve">Preventive Actions</t>
  </si>
  <si>
    <t xml:space="preserve">Are preventive actions identified and implemented proactively?</t>
  </si>
  <si>
    <t xml:space="preserve">Preventive action records</t>
  </si>
  <si>
    <t xml:space="preserve">GAP-098</t>
  </si>
  <si>
    <t xml:space="preserve">Internal Audit</t>
  </si>
  <si>
    <t xml:space="preserve">Audit Schedule</t>
  </si>
  <si>
    <t xml:space="preserve">Is there an internal audit schedule covering all laboratory areas?</t>
  </si>
  <si>
    <t xml:space="preserve">Annual audit schedule</t>
  </si>
  <si>
    <t xml:space="preserve">GAP-099</t>
  </si>
  <si>
    <t xml:space="preserve">Audit Reports</t>
  </si>
  <si>
    <t xml:space="preserve">Are internal audit findings documented and communicated to management?</t>
  </si>
  <si>
    <t xml:space="preserve">Audit reports</t>
  </si>
  <si>
    <t xml:space="preserve">GAP-100</t>
  </si>
  <si>
    <t xml:space="preserve">Audit Follow-up</t>
  </si>
  <si>
    <t xml:space="preserve">Are audit findings followed up and closed within defined timeframes?</t>
  </si>
  <si>
    <t xml:space="preserve">Audit follow-up records</t>
  </si>
  <si>
    <t xml:space="preserve">GAP-101</t>
  </si>
  <si>
    <t xml:space="preserve">Auditor Qualification</t>
  </si>
  <si>
    <t xml:space="preserve">Are internal auditors trained and qualified?</t>
  </si>
  <si>
    <t xml:space="preserve">Auditor training records</t>
  </si>
  <si>
    <t xml:space="preserve">GAP-102</t>
  </si>
  <si>
    <t xml:space="preserve">Audit Independence</t>
  </si>
  <si>
    <t xml:space="preserve">Are auditors independent of the area being audited?</t>
  </si>
  <si>
    <t xml:space="preserve">Audit assignment records</t>
  </si>
  <si>
    <t xml:space="preserve">GAP-103</t>
  </si>
  <si>
    <t xml:space="preserve">Tracer Audits</t>
  </si>
  <si>
    <t xml:space="preserve">Are tracer-style audits conducted (following a sample through the entire process)?</t>
  </si>
  <si>
    <t xml:space="preserve">Tracer audit records</t>
  </si>
  <si>
    <t xml:space="preserve">GAP-104</t>
  </si>
  <si>
    <t xml:space="preserve">Management Review</t>
  </si>
  <si>
    <t xml:space="preserve">Review Schedule</t>
  </si>
  <si>
    <t xml:space="preserve">Are management reviews conducted at defined intervals (typically annually)?</t>
  </si>
  <si>
    <t xml:space="preserve">Management review schedule</t>
  </si>
  <si>
    <t xml:space="preserve">GAP-105</t>
  </si>
  <si>
    <t xml:space="preserve">Review Input</t>
  </si>
  <si>
    <t xml:space="preserve">Are management review inputs documented (audit results, KPIs, CAPA, complaints, PT)?</t>
  </si>
  <si>
    <t xml:space="preserve">Management review meeting minutes</t>
  </si>
  <si>
    <t xml:space="preserve">GAP-106</t>
  </si>
  <si>
    <t xml:space="preserve">Review Output</t>
  </si>
  <si>
    <t xml:space="preserve">Are management review outputs (actions, decisions, improvements) documented and tracked?</t>
  </si>
  <si>
    <t xml:space="preserve">Management review output records</t>
  </si>
  <si>
    <t xml:space="preserve">GAP-107</t>
  </si>
  <si>
    <t xml:space="preserve">Action Follow-up</t>
  </si>
  <si>
    <t xml:space="preserve">Are management review actions followed up and completed?</t>
  </si>
  <si>
    <t xml:space="preserve">Action tracking records</t>
  </si>
  <si>
    <t xml:space="preserve">GAP-108</t>
  </si>
  <si>
    <t xml:space="preserve">Review Attendance</t>
  </si>
  <si>
    <t xml:space="preserve">Is attendance at management reviews documented (appropriate leadership present)?</t>
  </si>
  <si>
    <t xml:space="preserve">Attendance records</t>
  </si>
  <si>
    <t xml:space="preserve">GAP-109</t>
  </si>
  <si>
    <t xml:space="preserve">Pre-analytical Phase</t>
  </si>
  <si>
    <t xml:space="preserve">Test Ordering</t>
  </si>
  <si>
    <t xml:space="preserve">Are test ordering procedures documented and communicated to clinical staff?</t>
  </si>
  <si>
    <t xml:space="preserve">Test ordering procedure</t>
  </si>
  <si>
    <t xml:space="preserve">GAP-110</t>
  </si>
  <si>
    <t xml:space="preserve">Patient Preparation</t>
  </si>
  <si>
    <t xml:space="preserve">Are patient preparation instructions documented and available?</t>
  </si>
  <si>
    <t xml:space="preserve">Patient preparation guidelines</t>
  </si>
  <si>
    <t xml:space="preserve">GAP-111</t>
  </si>
  <si>
    <t xml:space="preserve">Sample Collection</t>
  </si>
  <si>
    <t xml:space="preserve">Are sample collection procedures documented (including patient identification)?</t>
  </si>
  <si>
    <t xml:space="preserve">Sample collection procedure</t>
  </si>
  <si>
    <t xml:space="preserve">GAP-112</t>
  </si>
  <si>
    <t xml:space="preserve">Sample Labeling</t>
  </si>
  <si>
    <t xml:space="preserve">Is sample labeling verified at collection point (two patient identifiers)?</t>
  </si>
  <si>
    <t xml:space="preserve">Labeling verification records</t>
  </si>
  <si>
    <t xml:space="preserve">GAP-113</t>
  </si>
  <si>
    <t xml:space="preserve">Order Entry</t>
  </si>
  <si>
    <t xml:space="preserve">Is order entry verified for accuracy (correct patient, test, priority)?</t>
  </si>
  <si>
    <t xml:space="preserve">Order entry verification records</t>
  </si>
  <si>
    <t xml:space="preserve">GAP-114</t>
  </si>
  <si>
    <t xml:space="preserve">Analytical Phase</t>
  </si>
  <si>
    <t xml:space="preserve">Run Logs</t>
  </si>
  <si>
    <t xml:space="preserve">Are run logs maintained for all analytical runs?</t>
  </si>
  <si>
    <t xml:space="preserve">Run logs, QC records</t>
  </si>
  <si>
    <t xml:space="preserve">GAP-115</t>
  </si>
  <si>
    <t xml:space="preserve">Instrument Checks</t>
  </si>
  <si>
    <t xml:space="preserve">Are daily instrument checks/calibrations documented?</t>
  </si>
  <si>
    <t xml:space="preserve">Daily instrument check logs</t>
  </si>
  <si>
    <t xml:space="preserve">GAP-116</t>
  </si>
  <si>
    <t xml:space="preserve">Reagent Management</t>
  </si>
  <si>
    <t xml:space="preserve">Are reagents stored, managed, and tracked (lot numbers, expiration)?</t>
  </si>
  <si>
    <t xml:space="preserve">Reagent inventory, lot tracking</t>
  </si>
  <si>
    <t xml:space="preserve">GAP-117</t>
  </si>
  <si>
    <t xml:space="preserve">Interference Checking</t>
  </si>
  <si>
    <t xml:space="preserve">Are known interferences documented and checked?</t>
  </si>
  <si>
    <t xml:space="preserve">Interference documentation</t>
  </si>
  <si>
    <t xml:space="preserve">GAP-118</t>
  </si>
  <si>
    <t xml:space="preserve">Delta Check</t>
  </si>
  <si>
    <t xml:space="preserve">Are delta check rules implemented for critical tests?</t>
  </si>
  <si>
    <t xml:space="preserve">Delta check procedure and records</t>
  </si>
  <si>
    <t xml:space="preserve">GAP-119</t>
  </si>
  <si>
    <t xml:space="preserve">Post-analytical Phase</t>
  </si>
  <si>
    <t xml:space="preserve">Turnaround Time</t>
  </si>
  <si>
    <t xml:space="preserve">Is turnaround time monitored and documented for all tests?</t>
  </si>
  <si>
    <t xml:space="preserve">TAT reports</t>
  </si>
  <si>
    <t xml:space="preserve">GAP-120</t>
  </si>
  <si>
    <t xml:space="preserve">Critical Values Reporting</t>
  </si>
  <si>
    <t xml:space="preserve">Are critical values reported within established timeframes and documented?</t>
  </si>
  <si>
    <t xml:space="preserve">GAP-121</t>
  </si>
  <si>
    <t xml:space="preserve">Result Review</t>
  </si>
  <si>
    <t xml:space="preserve">Are results reviewed by authorized personnel before release?</t>
  </si>
  <si>
    <t xml:space="preserve">Result review records</t>
  </si>
  <si>
    <t xml:space="preserve">GAP-122</t>
  </si>
  <si>
    <t xml:space="preserve">Corrected Reports</t>
  </si>
  <si>
    <t xml:space="preserve">Are corrected/amended reports documented and tracked?</t>
  </si>
  <si>
    <t xml:space="preserve">Corrected report log</t>
  </si>
  <si>
    <t xml:space="preserve">GAP-123</t>
  </si>
  <si>
    <t xml:space="preserve">Result Retention</t>
  </si>
  <si>
    <t xml:space="preserve">Are results retained for the required period according to policy?</t>
  </si>
  <si>
    <t xml:space="preserve">Record retention policy and compliance</t>
  </si>
  <si>
    <t xml:space="preserve">GAP-124</t>
  </si>
  <si>
    <t xml:space="preserve">Report &amp; Records</t>
  </si>
  <si>
    <t xml:space="preserve">Report Content</t>
  </si>
  <si>
    <t xml:space="preserve">Do laboratory reports contain all required information (patient, test, result, units, reference range, date, methodology)?</t>
  </si>
  <si>
    <t xml:space="preserve">Sample reports</t>
  </si>
  <si>
    <t xml:space="preserve">GAP-125</t>
  </si>
  <si>
    <t xml:space="preserve">Record Retention</t>
  </si>
  <si>
    <t xml:space="preserve">Is there a record retention policy defining retention periods for all record types?</t>
  </si>
  <si>
    <t xml:space="preserve">Record retention policy</t>
  </si>
  <si>
    <t xml:space="preserve">GAP-126</t>
  </si>
  <si>
    <t xml:space="preserve">Are reports delivered through approved channels (electronic, paper)?</t>
  </si>
  <si>
    <t xml:space="preserve">Report delivery procedure</t>
  </si>
  <si>
    <t xml:space="preserve">GAP-127</t>
  </si>
  <si>
    <t xml:space="preserve">Amendment Records</t>
  </si>
  <si>
    <t xml:space="preserve">Are report amendments documented with reason and authorization?</t>
  </si>
  <si>
    <t xml:space="preserve">Amendment log</t>
  </si>
  <si>
    <t xml:space="preserve">GAP-128</t>
  </si>
  <si>
    <t xml:space="preserve">Ethics &amp; Confidentiality</t>
  </si>
  <si>
    <t xml:space="preserve">Patient Confidentiality</t>
  </si>
  <si>
    <t xml:space="preserve">Are patient confidentiality procedures in place and communicated?</t>
  </si>
  <si>
    <t xml:space="preserve">Confidentiality policy</t>
  </si>
  <si>
    <t xml:space="preserve">GAP-129</t>
  </si>
  <si>
    <t xml:space="preserve">Informed Consent</t>
  </si>
  <si>
    <t xml:space="preserve">Are informed consent procedures documented for relevant tests?</t>
  </si>
  <si>
    <t xml:space="preserve">Consent forms and procedures</t>
  </si>
  <si>
    <t xml:space="preserve">GAP-130</t>
  </si>
  <si>
    <t xml:space="preserve">Data Protection</t>
  </si>
  <si>
    <t xml:space="preserve">Is patient data protected in accordance with applicable privacy regulations?</t>
  </si>
  <si>
    <t xml:space="preserve">Data protection policy, access logs</t>
  </si>
  <si>
    <t xml:space="preserve">GAP-131</t>
  </si>
  <si>
    <t xml:space="preserve">Are conflict of interest policies in place for laboratory personnel?</t>
  </si>
  <si>
    <t xml:space="preserve">Conflict of interest policy</t>
  </si>
  <si>
    <t xml:space="preserve">GAP-132</t>
  </si>
  <si>
    <t xml:space="preserve">Risk Assessment</t>
  </si>
  <si>
    <t xml:space="preserve">Is there a documented risk assessment for all laboratory processes?</t>
  </si>
  <si>
    <t xml:space="preserve">Risk assessment documents</t>
  </si>
  <si>
    <t xml:space="preserve">GAP-133</t>
  </si>
  <si>
    <t xml:space="preserve">Risk Register</t>
  </si>
  <si>
    <t xml:space="preserve">Is a risk register maintained and updated?</t>
  </si>
  <si>
    <t xml:space="preserve">Risk register</t>
  </si>
  <si>
    <t xml:space="preserve">GAP-134</t>
  </si>
  <si>
    <t xml:space="preserve">Risk Review</t>
  </si>
  <si>
    <t xml:space="preserve">Are risks reviewed at defined intervals and after incidents?</t>
  </si>
  <si>
    <t xml:space="preserve">Risk review records</t>
  </si>
  <si>
    <t xml:space="preserve">GAP-135</t>
  </si>
  <si>
    <t xml:space="preserve">Emergency Preparedness</t>
  </si>
  <si>
    <t xml:space="preserve">Is there an emergency preparedness plan for laboratory operations?</t>
  </si>
  <si>
    <t xml:space="preserve">Emergency plan, drill records</t>
  </si>
  <si>
    <t xml:space="preserve">GAP-136</t>
  </si>
  <si>
    <t xml:space="preserve">Business Continuity</t>
  </si>
  <si>
    <t xml:space="preserve">Is there a business continuity plan for laboratory services?</t>
  </si>
  <si>
    <t xml:space="preserve">Business continuity plan</t>
  </si>
  <si>
    <t xml:space="preserve">GAP-137</t>
  </si>
  <si>
    <t xml:space="preserve">Point-of-Care Testing (POCT)</t>
  </si>
  <si>
    <t xml:space="preserve">POCT Policy</t>
  </si>
  <si>
    <t xml:space="preserve">Is there a documented POCT program with oversight?</t>
  </si>
  <si>
    <t xml:space="preserve">POCT policy, oversight committee minutes</t>
  </si>
  <si>
    <t xml:space="preserve">GAP-138</t>
  </si>
  <si>
    <t xml:space="preserve">POCT Training</t>
  </si>
  <si>
    <t xml:space="preserve">Are POCT operators trained and competency-assessed?</t>
  </si>
  <si>
    <t xml:space="preserve">Training records, competency assessments</t>
  </si>
  <si>
    <t xml:space="preserve">GAP-139</t>
  </si>
  <si>
    <t xml:space="preserve">POCT QC</t>
  </si>
  <si>
    <t xml:space="preserve">Is QC performed and documented for all POCT devices?</t>
  </si>
  <si>
    <t xml:space="preserve">POCT QC records</t>
  </si>
  <si>
    <t xml:space="preserve">GAP-140</t>
  </si>
  <si>
    <t xml:space="preserve">POCT Device Management</t>
  </si>
  <si>
    <t xml:space="preserve">Are POCT devices inventoried, calibrated, and maintained?</t>
  </si>
  <si>
    <t xml:space="preserve">Device inventory, maintenance records</t>
  </si>
  <si>
    <t xml:space="preserve">GAP-141</t>
  </si>
  <si>
    <t xml:space="preserve">Infection Control</t>
  </si>
  <si>
    <t xml:space="preserve">Infection Control Plan</t>
  </si>
  <si>
    <t xml:space="preserve">Is there an infection control plan for the laboratory?</t>
  </si>
  <si>
    <t xml:space="preserve">Infection control plan</t>
  </si>
  <si>
    <t xml:space="preserve">GAP-142</t>
  </si>
  <si>
    <t xml:space="preserve">Hand Hygiene</t>
  </si>
  <si>
    <t xml:space="preserve">Is hand hygiene compliance monitored and documented?</t>
  </si>
  <si>
    <t xml:space="preserve">Hand hygiene audit records</t>
  </si>
  <si>
    <t xml:space="preserve">GAP-143</t>
  </si>
  <si>
    <t xml:space="preserve">Decontamination</t>
  </si>
  <si>
    <t xml:space="preserve">Are decontamination procedures documented for equipment and surfaces?</t>
  </si>
  <si>
    <t xml:space="preserve">Decontamination procedure and records</t>
  </si>
  <si>
    <t xml:space="preserve">GAP-144</t>
  </si>
  <si>
    <t xml:space="preserve">Sharps Management</t>
  </si>
  <si>
    <t xml:space="preserve">Is sharps disposal managed according to regulations?</t>
  </si>
  <si>
    <t xml:space="preserve">Sharps disposal records</t>
  </si>
  <si>
    <t xml:space="preserve">GAP-145</t>
  </si>
  <si>
    <t xml:space="preserve">Outreach &amp; Customer Service</t>
  </si>
  <si>
    <t xml:space="preserve">Client Communication</t>
  </si>
  <si>
    <t xml:space="preserve">Is there a process for communicating with laboratory clients (clinicians, patients)?</t>
  </si>
  <si>
    <t xml:space="preserve">Client communication procedure</t>
  </si>
  <si>
    <t xml:space="preserve">GAP-146</t>
  </si>
  <si>
    <t xml:space="preserve">Complaint Management</t>
  </si>
  <si>
    <t xml:space="preserve">Is there a documented complaint management process?</t>
  </si>
  <si>
    <t xml:space="preserve">Complaint log, procedure</t>
  </si>
  <si>
    <t xml:space="preserve">GAP-147</t>
  </si>
  <si>
    <t xml:space="preserve">Client Satisfaction</t>
  </si>
  <si>
    <t xml:space="preserve">Is client satisfaction monitored and reviewed?</t>
  </si>
  <si>
    <t xml:space="preserve">Client satisfaction survey results</t>
  </si>
  <si>
    <t xml:space="preserve">SUMMARY</t>
  </si>
  <si>
    <t xml:space="preserve">Total Items:</t>
  </si>
  <si>
    <t xml:space="preserve">Compliant:</t>
  </si>
  <si>
    <t xml:space="preserve">Partial:</t>
  </si>
  <si>
    <t xml:space="preserve">Non-Compliant:</t>
  </si>
  <si>
    <t xml:space="preserve">Overall Readiness %:</t>
  </si>
  <si>
    <t xml:space="preserve">GAP REGISTER</t>
  </si>
  <si>
    <t xml:space="preserve">Source Audit Item</t>
  </si>
  <si>
    <t xml:space="preserve">Gap Description</t>
  </si>
  <si>
    <t xml:space="preserve">Evidence Missing</t>
  </si>
  <si>
    <t xml:space="preserve">Risk Priority</t>
  </si>
  <si>
    <t xml:space="preserve">Immediate Containment</t>
  </si>
  <si>
    <t xml:space="preserve">Target Date</t>
  </si>
  <si>
    <t xml:space="preserve">CAPA ACTION PLAN — CORRECTIVE &amp; PREVENTIVE ACTIONS</t>
  </si>
  <si>
    <t xml:space="preserve">CAPA ID</t>
  </si>
  <si>
    <t xml:space="preserve">Nonconformity Description</t>
  </si>
  <si>
    <t xml:space="preserve">Root Cause</t>
  </si>
  <si>
    <t xml:space="preserve">Corrective Action</t>
  </si>
  <si>
    <t xml:space="preserve">Preventive Action</t>
  </si>
  <si>
    <t xml:space="preserve">Overdue?</t>
  </si>
  <si>
    <t xml:space="preserve">Effectiveness Check</t>
  </si>
  <si>
    <t xml:space="preserve">Verification Date</t>
  </si>
  <si>
    <t xml:space="preserve">CAPA-001</t>
  </si>
  <si>
    <t xml:space="preserve">CAPA-002</t>
  </si>
  <si>
    <t xml:space="preserve">CAPA-003</t>
  </si>
  <si>
    <t xml:space="preserve">CAPA-004</t>
  </si>
  <si>
    <t xml:space="preserve">CAPA-005</t>
  </si>
  <si>
    <t xml:space="preserve">CAPA-006</t>
  </si>
  <si>
    <t xml:space="preserve">CAPA-007</t>
  </si>
  <si>
    <t xml:space="preserve">CAPA-008</t>
  </si>
  <si>
    <t xml:space="preserve">CAPA-009</t>
  </si>
  <si>
    <t xml:space="preserve">CAPA-010</t>
  </si>
  <si>
    <t xml:space="preserve">CAPA-011</t>
  </si>
  <si>
    <t xml:space="preserve">CAPA-012</t>
  </si>
  <si>
    <t xml:space="preserve">CAPA-013</t>
  </si>
  <si>
    <t xml:space="preserve">CAPA-014</t>
  </si>
  <si>
    <t xml:space="preserve">CAPA-015</t>
  </si>
  <si>
    <t xml:space="preserve">CAPA-016</t>
  </si>
  <si>
    <t xml:space="preserve">CAPA-017</t>
  </si>
  <si>
    <t xml:space="preserve">CAPA-018</t>
  </si>
  <si>
    <t xml:space="preserve">CAPA-019</t>
  </si>
  <si>
    <t xml:space="preserve">CAPA-020</t>
  </si>
  <si>
    <t xml:space="preserve">CAPA-021</t>
  </si>
  <si>
    <t xml:space="preserve">CAPA-022</t>
  </si>
  <si>
    <t xml:space="preserve">CAPA-023</t>
  </si>
  <si>
    <t xml:space="preserve">CAPA-024</t>
  </si>
  <si>
    <t xml:space="preserve">CAPA-025</t>
  </si>
  <si>
    <t xml:space="preserve">CAPA-026</t>
  </si>
  <si>
    <t xml:space="preserve">CAPA-027</t>
  </si>
  <si>
    <t xml:space="preserve">CAPA-028</t>
  </si>
  <si>
    <t xml:space="preserve">CAPA-029</t>
  </si>
  <si>
    <t xml:space="preserve">CAPA-030</t>
  </si>
  <si>
    <t xml:space="preserve">CAPA-031</t>
  </si>
  <si>
    <t xml:space="preserve">CAPA-032</t>
  </si>
  <si>
    <t xml:space="preserve">CAPA-033</t>
  </si>
  <si>
    <t xml:space="preserve">CAPA-034</t>
  </si>
  <si>
    <t xml:space="preserve">CAPA-035</t>
  </si>
  <si>
    <t xml:space="preserve">CAPA-036</t>
  </si>
  <si>
    <t xml:space="preserve">CAPA-037</t>
  </si>
  <si>
    <t xml:space="preserve">CAPA-038</t>
  </si>
  <si>
    <t xml:space="preserve">CAPA-039</t>
  </si>
  <si>
    <t xml:space="preserve">CAPA-040</t>
  </si>
  <si>
    <t xml:space="preserve">CAPA-041</t>
  </si>
  <si>
    <t xml:space="preserve">CAPA-042</t>
  </si>
  <si>
    <t xml:space="preserve">CAPA-043</t>
  </si>
  <si>
    <t xml:space="preserve">CAPA-044</t>
  </si>
  <si>
    <t xml:space="preserve">CAPA-045</t>
  </si>
  <si>
    <t xml:space="preserve">CAPA-046</t>
  </si>
  <si>
    <t xml:space="preserve">CAPA-047</t>
  </si>
  <si>
    <t xml:space="preserve">CAPA-048</t>
  </si>
  <si>
    <t xml:space="preserve">CAPA-049</t>
  </si>
  <si>
    <t xml:space="preserve">CAPA-050</t>
  </si>
  <si>
    <t xml:space="preserve">EVIDENCE TRACKER — DOCUMENT &amp; RECORD INVENTORY</t>
  </si>
  <si>
    <t xml:space="preserve">Evidence ID</t>
  </si>
  <si>
    <t xml:space="preserve">Evidence Item</t>
  </si>
  <si>
    <t xml:space="preserve">Related Standard</t>
  </si>
  <si>
    <t xml:space="preserve">Location/Link</t>
  </si>
  <si>
    <t xml:space="preserve">Last Reviewed</t>
  </si>
  <si>
    <t xml:space="preserve">EV-001</t>
  </si>
  <si>
    <t xml:space="preserve">EV-002</t>
  </si>
  <si>
    <t xml:space="preserve">EV-003</t>
  </si>
  <si>
    <t xml:space="preserve">EV-004</t>
  </si>
  <si>
    <t xml:space="preserve">EV-005</t>
  </si>
  <si>
    <t xml:space="preserve">EV-006</t>
  </si>
  <si>
    <t xml:space="preserve">EV-007</t>
  </si>
  <si>
    <t xml:space="preserve">EV-008</t>
  </si>
  <si>
    <t xml:space="preserve">EV-009</t>
  </si>
  <si>
    <t xml:space="preserve">EV-010</t>
  </si>
  <si>
    <t xml:space="preserve">EV-011</t>
  </si>
  <si>
    <t xml:space="preserve">EV-012</t>
  </si>
  <si>
    <t xml:space="preserve">EV-013</t>
  </si>
  <si>
    <t xml:space="preserve">EV-014</t>
  </si>
  <si>
    <t xml:space="preserve">EV-015</t>
  </si>
  <si>
    <t xml:space="preserve">EV-016</t>
  </si>
  <si>
    <t xml:space="preserve">EV-017</t>
  </si>
  <si>
    <t xml:space="preserve">EV-018</t>
  </si>
  <si>
    <t xml:space="preserve">EV-019</t>
  </si>
  <si>
    <t xml:space="preserve">EV-020</t>
  </si>
  <si>
    <t xml:space="preserve">EV-021</t>
  </si>
  <si>
    <t xml:space="preserve">EV-022</t>
  </si>
  <si>
    <t xml:space="preserve">EV-023</t>
  </si>
  <si>
    <t xml:space="preserve">EV-024</t>
  </si>
  <si>
    <t xml:space="preserve">EV-025</t>
  </si>
  <si>
    <t xml:space="preserve">EV-026</t>
  </si>
  <si>
    <t xml:space="preserve">EV-027</t>
  </si>
  <si>
    <t xml:space="preserve">EV-028</t>
  </si>
  <si>
    <t xml:space="preserve">EV-029</t>
  </si>
  <si>
    <t xml:space="preserve">EV-030</t>
  </si>
  <si>
    <t xml:space="preserve">EV-031</t>
  </si>
  <si>
    <t xml:space="preserve">EV-032</t>
  </si>
  <si>
    <t xml:space="preserve">EV-033</t>
  </si>
  <si>
    <t xml:space="preserve">EV-034</t>
  </si>
  <si>
    <t xml:space="preserve">EV-035</t>
  </si>
  <si>
    <t xml:space="preserve">EV-036</t>
  </si>
  <si>
    <t xml:space="preserve">EV-037</t>
  </si>
  <si>
    <t xml:space="preserve">EV-038</t>
  </si>
  <si>
    <t xml:space="preserve">EV-039</t>
  </si>
  <si>
    <t xml:space="preserve">EV-040</t>
  </si>
  <si>
    <t xml:space="preserve">EV-041</t>
  </si>
  <si>
    <t xml:space="preserve">EV-042</t>
  </si>
  <si>
    <t xml:space="preserve">EV-043</t>
  </si>
  <si>
    <t xml:space="preserve">EV-044</t>
  </si>
  <si>
    <t xml:space="preserve">EV-045</t>
  </si>
  <si>
    <t xml:space="preserve">EV-046</t>
  </si>
  <si>
    <t xml:space="preserve">EV-047</t>
  </si>
  <si>
    <t xml:space="preserve">EV-048</t>
  </si>
  <si>
    <t xml:space="preserve">EV-049</t>
  </si>
  <si>
    <t xml:space="preserve">EV-050</t>
  </si>
  <si>
    <t xml:space="preserve">EV-051</t>
  </si>
  <si>
    <t xml:space="preserve">EV-052</t>
  </si>
  <si>
    <t xml:space="preserve">EV-053</t>
  </si>
  <si>
    <t xml:space="preserve">EV-054</t>
  </si>
  <si>
    <t xml:space="preserve">EV-055</t>
  </si>
  <si>
    <t xml:space="preserve">EV-056</t>
  </si>
  <si>
    <t xml:space="preserve">EV-057</t>
  </si>
  <si>
    <t xml:space="preserve">EV-058</t>
  </si>
  <si>
    <t xml:space="preserve">EV-059</t>
  </si>
  <si>
    <t xml:space="preserve">EV-060</t>
  </si>
  <si>
    <t xml:space="preserve">COMPETENCY &amp; TRAINING TRACKER</t>
  </si>
  <si>
    <t xml:space="preserve">Staff ID</t>
  </si>
  <si>
    <t xml:space="preserve">Name</t>
  </si>
  <si>
    <t xml:space="preserve">Role/Title</t>
  </si>
  <si>
    <t xml:space="preserve">Section/Department</t>
  </si>
  <si>
    <t xml:space="preserve">Qualification</t>
  </si>
  <si>
    <t xml:space="preserve">Initial Competency</t>
  </si>
  <si>
    <t xml:space="preserve">Annual Competency</t>
  </si>
  <si>
    <t xml:space="preserve">Direct Observation</t>
  </si>
  <si>
    <t xml:space="preserve">Continuing Education (hrs)</t>
  </si>
  <si>
    <t xml:space="preserve">STAFF-001</t>
  </si>
  <si>
    <t xml:space="preserve">STAFF-002</t>
  </si>
  <si>
    <t xml:space="preserve">STAFF-003</t>
  </si>
  <si>
    <t xml:space="preserve">STAFF-004</t>
  </si>
  <si>
    <t xml:space="preserve">STAFF-005</t>
  </si>
  <si>
    <t xml:space="preserve">STAFF-006</t>
  </si>
  <si>
    <t xml:space="preserve">STAFF-007</t>
  </si>
  <si>
    <t xml:space="preserve">STAFF-008</t>
  </si>
  <si>
    <t xml:space="preserve">STAFF-009</t>
  </si>
  <si>
    <t xml:space="preserve">STAFF-010</t>
  </si>
  <si>
    <t xml:space="preserve">STAFF-011</t>
  </si>
  <si>
    <t xml:space="preserve">STAFF-012</t>
  </si>
  <si>
    <t xml:space="preserve">STAFF-013</t>
  </si>
  <si>
    <t xml:space="preserve">STAFF-014</t>
  </si>
  <si>
    <t xml:space="preserve">STAFF-015</t>
  </si>
  <si>
    <t xml:space="preserve">STAFF-016</t>
  </si>
  <si>
    <t xml:space="preserve">STAFF-017</t>
  </si>
  <si>
    <t xml:space="preserve">STAFF-018</t>
  </si>
  <si>
    <t xml:space="preserve">STAFF-019</t>
  </si>
  <si>
    <t xml:space="preserve">STAFF-020</t>
  </si>
  <si>
    <t xml:space="preserve">STAFF-021</t>
  </si>
  <si>
    <t xml:space="preserve">STAFF-022</t>
  </si>
  <si>
    <t xml:space="preserve">STAFF-023</t>
  </si>
  <si>
    <t xml:space="preserve">STAFF-024</t>
  </si>
  <si>
    <t xml:space="preserve">STAFF-025</t>
  </si>
  <si>
    <t xml:space="preserve">EQUIPMENT, QC &amp; PROFICIENCY TESTING TRACKER</t>
  </si>
  <si>
    <t xml:space="preserve">Equipment ID</t>
  </si>
  <si>
    <t xml:space="preserve">Equipment Name</t>
  </si>
  <si>
    <t xml:space="preserve">Serial Number</t>
  </si>
  <si>
    <t xml:space="preserve">Calibration Due</t>
  </si>
  <si>
    <t xml:space="preserve">Maintenance Due</t>
  </si>
  <si>
    <t xml:space="preserve">QC Daily Review</t>
  </si>
  <si>
    <t xml:space="preserve">PT/EQA Provider</t>
  </si>
  <si>
    <t xml:space="preserve">PT Status</t>
  </si>
  <si>
    <t xml:space="preserve">Last PT Date</t>
  </si>
  <si>
    <t xml:space="preserve">PT Result</t>
  </si>
  <si>
    <t xml:space="preserve">EQ-001</t>
  </si>
  <si>
    <t xml:space="preserve">EQ-002</t>
  </si>
  <si>
    <t xml:space="preserve">EQ-003</t>
  </si>
  <si>
    <t xml:space="preserve">EQ-004</t>
  </si>
  <si>
    <t xml:space="preserve">EQ-005</t>
  </si>
  <si>
    <t xml:space="preserve">EQ-006</t>
  </si>
  <si>
    <t xml:space="preserve">EQ-007</t>
  </si>
  <si>
    <t xml:space="preserve">EQ-008</t>
  </si>
  <si>
    <t xml:space="preserve">EQ-009</t>
  </si>
  <si>
    <t xml:space="preserve">EQ-010</t>
  </si>
  <si>
    <t xml:space="preserve">EQ-011</t>
  </si>
  <si>
    <t xml:space="preserve">EQ-012</t>
  </si>
  <si>
    <t xml:space="preserve">EQ-013</t>
  </si>
  <si>
    <t xml:space="preserve">EQ-014</t>
  </si>
  <si>
    <t xml:space="preserve">EQ-015</t>
  </si>
  <si>
    <t xml:space="preserve">EQ-016</t>
  </si>
  <si>
    <t xml:space="preserve">EQ-017</t>
  </si>
  <si>
    <t xml:space="preserve">EQ-018</t>
  </si>
  <si>
    <t xml:space="preserve">EQ-019</t>
  </si>
  <si>
    <t xml:space="preserve">EQ-020</t>
  </si>
  <si>
    <t xml:space="preserve">EQ-021</t>
  </si>
  <si>
    <t xml:space="preserve">EQ-022</t>
  </si>
  <si>
    <t xml:space="preserve">EQ-023</t>
  </si>
  <si>
    <t xml:space="preserve">EQ-024</t>
  </si>
  <si>
    <t xml:space="preserve">EQ-025</t>
  </si>
  <si>
    <t xml:space="preserve">EQ-026</t>
  </si>
  <si>
    <t xml:space="preserve">EQ-027</t>
  </si>
  <si>
    <t xml:space="preserve">EQ-028</t>
  </si>
  <si>
    <t xml:space="preserve">EQ-029</t>
  </si>
  <si>
    <t xml:space="preserve">EQ-030</t>
  </si>
  <si>
    <t xml:space="preserve">DOCUMENT CONTROL REGISTER</t>
  </si>
  <si>
    <t xml:space="preserve">Document ID</t>
  </si>
  <si>
    <t xml:space="preserve">Document Title</t>
  </si>
  <si>
    <t xml:space="preserve">Type</t>
  </si>
  <si>
    <t xml:space="preserve">Version</t>
  </si>
  <si>
    <t xml:space="preserve">Author</t>
  </si>
  <si>
    <t xml:space="preserve">Approved By</t>
  </si>
  <si>
    <t xml:space="preserve">Review Date</t>
  </si>
  <si>
    <t xml:space="preserve">DOC-001</t>
  </si>
  <si>
    <t xml:space="preserve">DOC-002</t>
  </si>
  <si>
    <t xml:space="preserve">DOC-003</t>
  </si>
  <si>
    <t xml:space="preserve">DOC-004</t>
  </si>
  <si>
    <t xml:space="preserve">DOC-005</t>
  </si>
  <si>
    <t xml:space="preserve">DOC-006</t>
  </si>
  <si>
    <t xml:space="preserve">DOC-007</t>
  </si>
  <si>
    <t xml:space="preserve">DOC-008</t>
  </si>
  <si>
    <t xml:space="preserve">DOC-009</t>
  </si>
  <si>
    <t xml:space="preserve">DOC-010</t>
  </si>
  <si>
    <t xml:space="preserve">DOC-011</t>
  </si>
  <si>
    <t xml:space="preserve">DOC-012</t>
  </si>
  <si>
    <t xml:space="preserve">DOC-013</t>
  </si>
  <si>
    <t xml:space="preserve">DOC-014</t>
  </si>
  <si>
    <t xml:space="preserve">DOC-015</t>
  </si>
  <si>
    <t xml:space="preserve">DOC-016</t>
  </si>
  <si>
    <t xml:space="preserve">DOC-017</t>
  </si>
  <si>
    <t xml:space="preserve">DOC-018</t>
  </si>
  <si>
    <t xml:space="preserve">DOC-019</t>
  </si>
  <si>
    <t xml:space="preserve">DOC-020</t>
  </si>
  <si>
    <t xml:space="preserve">DOC-021</t>
  </si>
  <si>
    <t xml:space="preserve">DOC-022</t>
  </si>
  <si>
    <t xml:space="preserve">DOC-023</t>
  </si>
  <si>
    <t xml:space="preserve">DOC-024</t>
  </si>
  <si>
    <t xml:space="preserve">DOC-025</t>
  </si>
  <si>
    <t xml:space="preserve">DOC-026</t>
  </si>
  <si>
    <t xml:space="preserve">DOC-027</t>
  </si>
  <si>
    <t xml:space="preserve">DOC-028</t>
  </si>
  <si>
    <t xml:space="preserve">DOC-029</t>
  </si>
  <si>
    <t xml:space="preserve">DOC-030</t>
  </si>
  <si>
    <t xml:space="preserve">DOC-031</t>
  </si>
  <si>
    <t xml:space="preserve">DOC-032</t>
  </si>
  <si>
    <t xml:space="preserve">DOC-033</t>
  </si>
  <si>
    <t xml:space="preserve">DOC-034</t>
  </si>
  <si>
    <t xml:space="preserve">DOC-035</t>
  </si>
  <si>
    <t xml:space="preserve">DOC-036</t>
  </si>
  <si>
    <t xml:space="preserve">DOC-037</t>
  </si>
  <si>
    <t xml:space="preserve">DOC-038</t>
  </si>
  <si>
    <t xml:space="preserve">DOC-039</t>
  </si>
  <si>
    <t xml:space="preserve">DOC-040</t>
  </si>
  <si>
    <t xml:space="preserve">INTERNAL AUDIT &amp; TRACER PLAN</t>
  </si>
  <si>
    <t xml:space="preserve">Audit ID</t>
  </si>
  <si>
    <t xml:space="preserve">Audit Date</t>
  </si>
  <si>
    <t xml:space="preserve">Area/Process</t>
  </si>
  <si>
    <t xml:space="preserve">Auditor</t>
  </si>
  <si>
    <t xml:space="preserve">Documents Sampled</t>
  </si>
  <si>
    <t xml:space="preserve">Staff Interviewed</t>
  </si>
  <si>
    <t xml:space="preserve">Findings</t>
  </si>
  <si>
    <t xml:space="preserve">Risk Level</t>
  </si>
  <si>
    <t xml:space="preserve">Action Required</t>
  </si>
  <si>
    <t xml:space="preserve">Follow-up Date</t>
  </si>
  <si>
    <t xml:space="preserve">IA-001</t>
  </si>
  <si>
    <t xml:space="preserve">IA-002</t>
  </si>
  <si>
    <t xml:space="preserve">IA-003</t>
  </si>
  <si>
    <t xml:space="preserve">IA-004</t>
  </si>
  <si>
    <t xml:space="preserve">IA-005</t>
  </si>
  <si>
    <t xml:space="preserve">IA-006</t>
  </si>
  <si>
    <t xml:space="preserve">IA-007</t>
  </si>
  <si>
    <t xml:space="preserve">IA-008</t>
  </si>
  <si>
    <t xml:space="preserve">IA-009</t>
  </si>
  <si>
    <t xml:space="preserve">IA-010</t>
  </si>
  <si>
    <t xml:space="preserve">IA-011</t>
  </si>
  <si>
    <t xml:space="preserve">IA-012</t>
  </si>
  <si>
    <t xml:space="preserve">IA-013</t>
  </si>
  <si>
    <t xml:space="preserve">IA-014</t>
  </si>
  <si>
    <t xml:space="preserve">IA-015</t>
  </si>
  <si>
    <t xml:space="preserve">IA-016</t>
  </si>
  <si>
    <t xml:space="preserve">IA-017</t>
  </si>
  <si>
    <t xml:space="preserve">IA-018</t>
  </si>
  <si>
    <t xml:space="preserve">IA-019</t>
  </si>
  <si>
    <t xml:space="preserve">IA-020</t>
  </si>
  <si>
    <t xml:space="preserve">IA-021</t>
  </si>
  <si>
    <t xml:space="preserve">IA-022</t>
  </si>
  <si>
    <t xml:space="preserve">IA-023</t>
  </si>
  <si>
    <t xml:space="preserve">IA-024</t>
  </si>
  <si>
    <t xml:space="preserve">IA-025</t>
  </si>
  <si>
    <t xml:space="preserve">MANAGEMENT REVIEW &amp; SUSTAIN TRACKER</t>
  </si>
  <si>
    <t xml:space="preserve">MANAGEMENT REVIEW AGENDA ITEMS</t>
  </si>
  <si>
    <t xml:space="preserve">Item</t>
  </si>
  <si>
    <t xml:space="preserve">Review Topic</t>
  </si>
  <si>
    <t xml:space="preserve">Input Required</t>
  </si>
  <si>
    <t xml:space="preserve">Responsible</t>
  </si>
  <si>
    <t xml:space="preserve">Actions/Decisions</t>
  </si>
  <si>
    <t xml:space="preserve">MR-001</t>
  </si>
  <si>
    <t xml:space="preserve">Audit results (internal &amp; external)</t>
  </si>
  <si>
    <t xml:space="preserve">Internal audit reports, external assessment findings</t>
  </si>
  <si>
    <t xml:space="preserve">MR-002</t>
  </si>
  <si>
    <t xml:space="preserve">Quality indicators &amp; KPIs</t>
  </si>
  <si>
    <t xml:space="preserve">KPI dashboard, trend analysis</t>
  </si>
  <si>
    <t xml:space="preserve">MR-003</t>
  </si>
  <si>
    <t xml:space="preserve">CAPA status &amp; effectiveness</t>
  </si>
  <si>
    <t xml:space="preserve">CAPA register, effectiveness check results</t>
  </si>
  <si>
    <t xml:space="preserve">MR-004</t>
  </si>
  <si>
    <t xml:space="preserve">PT/EQA results</t>
  </si>
  <si>
    <t xml:space="preserve">Proficiency testing reports</t>
  </si>
  <si>
    <t xml:space="preserve">MR-005</t>
  </si>
  <si>
    <t xml:space="preserve">Complaints &amp; feedback</t>
  </si>
  <si>
    <t xml:space="preserve">Complaint log, patient feedback</t>
  </si>
  <si>
    <t xml:space="preserve">MR-006</t>
  </si>
  <si>
    <t xml:space="preserve">Personnel competency</t>
  </si>
  <si>
    <t xml:space="preserve">Competency assessment records</t>
  </si>
  <si>
    <t xml:space="preserve">MR-007</t>
  </si>
  <si>
    <t xml:space="preserve">Equipment &amp; facility status</t>
  </si>
  <si>
    <t xml:space="preserve">Equipment maintenance, facility inspection</t>
  </si>
  <si>
    <t xml:space="preserve">MR-008</t>
  </si>
  <si>
    <t xml:space="preserve">Document &amp; record review</t>
  </si>
  <si>
    <t xml:space="preserve">Document control register</t>
  </si>
  <si>
    <t xml:space="preserve">MR-009</t>
  </si>
  <si>
    <t xml:space="preserve">Risk assessment update</t>
  </si>
  <si>
    <t xml:space="preserve">Risk register, risk assessment</t>
  </si>
  <si>
    <t xml:space="preserve">MR-010</t>
  </si>
  <si>
    <t xml:space="preserve">Improvement opportunities</t>
  </si>
  <si>
    <t xml:space="preserve">Improvement suggestions, projects</t>
  </si>
  <si>
    <t xml:space="preserve">MR-011</t>
  </si>
  <si>
    <t xml:space="preserve">Previous review actions</t>
  </si>
  <si>
    <t xml:space="preserve">Previous management review minutes</t>
  </si>
  <si>
    <t xml:space="preserve">MR-012</t>
  </si>
  <si>
    <t xml:space="preserve">Resource needs</t>
  </si>
  <si>
    <t xml:space="preserve">Staffing, equipment, facility needs</t>
  </si>
  <si>
    <t xml:space="preserve">QUALITY INDICATORS &amp; KPIs</t>
  </si>
  <si>
    <t xml:space="preserve">KPI ID</t>
  </si>
  <si>
    <t xml:space="preserve">Indicator</t>
  </si>
  <si>
    <t xml:space="preserve">Target</t>
  </si>
  <si>
    <t xml:space="preserve">Current Value</t>
  </si>
  <si>
    <t xml:space="preserve">Trend</t>
  </si>
  <si>
    <t xml:space="preserve">KPI-001</t>
  </si>
  <si>
    <t xml:space="preserve">Turnaround Time - Routine</t>
  </si>
  <si>
    <t xml:space="preserve">≤ 4 hours</t>
  </si>
  <si>
    <t xml:space="preserve">KPI-002</t>
  </si>
  <si>
    <t xml:space="preserve">Turnaround Time - STAT</t>
  </si>
  <si>
    <t xml:space="preserve">≤ 1 hour</t>
  </si>
  <si>
    <t xml:space="preserve">KPI-003</t>
  </si>
  <si>
    <t xml:space="preserve">Sample Rejection Rate</t>
  </si>
  <si>
    <t xml:space="preserve">≤ 2%</t>
  </si>
  <si>
    <t xml:space="preserve">KPI-004</t>
  </si>
  <si>
    <t xml:space="preserve">Critical Value Reporting Time</t>
  </si>
  <si>
    <t xml:space="preserve">≤ 30 minutes</t>
  </si>
  <si>
    <t xml:space="preserve">KPI-005</t>
  </si>
  <si>
    <t xml:space="preserve">PT/EQA Pass Rate</t>
  </si>
  <si>
    <t xml:space="preserve">100%</t>
  </si>
  <si>
    <t xml:space="preserve">KPI-006</t>
  </si>
  <si>
    <t xml:space="preserve">Document Review Compliance</t>
  </si>
  <si>
    <t xml:space="preserve">KPI-007</t>
  </si>
  <si>
    <t xml:space="preserve">Competency Assessment Completion</t>
  </si>
  <si>
    <t xml:space="preserve">KPI-008</t>
  </si>
  <si>
    <t xml:space="preserve">CAPA Closure Rate</t>
  </si>
  <si>
    <t xml:space="preserve">≥ 90%</t>
  </si>
  <si>
    <t xml:space="preserve">KPI-009</t>
  </si>
  <si>
    <t xml:space="preserve">Equipment Calibration Compliance</t>
  </si>
  <si>
    <t xml:space="preserve">KPI-010</t>
  </si>
  <si>
    <t xml:space="preserve">Internal Audit Schedule Compliance</t>
  </si>
  <si>
    <t xml:space="preserve">≥ 95%</t>
  </si>
  <si>
    <t xml:space="preserve">STANDARDS CROSSWALK — DOMAIN MAPPING</t>
  </si>
  <si>
    <t xml:space="preserve">ISO 15189 Relevance</t>
  </si>
  <si>
    <t xml:space="preserve">CAP Relevance</t>
  </si>
  <si>
    <t xml:space="preserve">JCI Relevance</t>
  </si>
  <si>
    <t xml:space="preserve">AABB Relevance</t>
  </si>
  <si>
    <t xml:space="preserve">Clauses 4-8: QMS requirements</t>
  </si>
  <si>
    <t xml:space="preserve">CAP All Common Checklist</t>
  </si>
  <si>
    <t xml:space="preserve">GLD.1, GLD.2</t>
  </si>
  <si>
    <t xml:space="preserve">AABB QMS requirements</t>
  </si>
  <si>
    <t xml:space="preserve">Clause 8.4: Document control</t>
  </si>
  <si>
    <t xml:space="preserve">CAP document control requirements</t>
  </si>
  <si>
    <t xml:space="preserve">GLD.1.1, GLD.1.2</t>
  </si>
  <si>
    <t xml:space="preserve">AABB document control</t>
  </si>
  <si>
    <t xml:space="preserve">Clause 6.2: Personnel</t>
  </si>
  <si>
    <t xml:space="preserve">CAP personnel requirements</t>
  </si>
  <si>
    <t xml:space="preserve">SQE.1, SQE.2</t>
  </si>
  <si>
    <t xml:space="preserve">AABB personnel competency</t>
  </si>
  <si>
    <t xml:space="preserve">Clause 7.1: Equipment</t>
  </si>
  <si>
    <t xml:space="preserve">CAP equipment requirements</t>
  </si>
  <si>
    <t xml:space="preserve">FMS.8</t>
  </si>
  <si>
    <t xml:space="preserve">AABB equipment</t>
  </si>
  <si>
    <t xml:space="preserve">Clause 7.2: Validation</t>
  </si>
  <si>
    <t xml:space="preserve">CAP method validation</t>
  </si>
  <si>
    <t xml:space="preserve">—</t>
  </si>
  <si>
    <t xml:space="preserve">Clause 7.2: Pre-examination</t>
  </si>
  <si>
    <t xml:space="preserve">CAP pre-analytical</t>
  </si>
  <si>
    <t xml:space="preserve">PFR.1</t>
  </si>
  <si>
    <t xml:space="preserve">AABB sample management</t>
  </si>
  <si>
    <t xml:space="preserve">Clause 7.3: Quality control</t>
  </si>
  <si>
    <t xml:space="preserve">CAP QC requirements</t>
  </si>
  <si>
    <t xml:space="preserve">QPS.3</t>
  </si>
  <si>
    <t xml:space="preserve">AABB QC</t>
  </si>
  <si>
    <t xml:space="preserve">PT/EQA</t>
  </si>
  <si>
    <t xml:space="preserve">Clause 7.3: External QC</t>
  </si>
  <si>
    <t xml:space="preserve">CAP PT requirements</t>
  </si>
  <si>
    <t xml:space="preserve">QPS.2</t>
  </si>
  <si>
    <t xml:space="preserve">AABB PT/EQA</t>
  </si>
  <si>
    <t xml:space="preserve">Information Management</t>
  </si>
  <si>
    <t xml:space="preserve">Clause 8: Information management</t>
  </si>
  <si>
    <t xml:space="preserve">CAP LIS requirements</t>
  </si>
  <si>
    <t xml:space="preserve">GLD.3</t>
  </si>
  <si>
    <t xml:space="preserve">Clause 7.1.4: Environment</t>
  </si>
  <si>
    <t xml:space="preserve">CAP safety requirements</t>
  </si>
  <si>
    <t xml:space="preserve">FMS.1-FMS.7</t>
  </si>
  <si>
    <t xml:space="preserve">AABB safety</t>
  </si>
  <si>
    <t xml:space="preserve">Clause 7.2: Transfusion</t>
  </si>
  <si>
    <t xml:space="preserve">CAP transfusion</t>
  </si>
  <si>
    <t xml:space="preserve">AABB transfusion</t>
  </si>
  <si>
    <t xml:space="preserve">CAPA &amp; RCA</t>
  </si>
  <si>
    <t xml:space="preserve">Clause 7.10: Nonconforming work</t>
  </si>
  <si>
    <t xml:space="preserve">CAP CAPA requirements</t>
  </si>
  <si>
    <t xml:space="preserve">QPS.7</t>
  </si>
  <si>
    <t xml:space="preserve">AABB CAPA</t>
  </si>
  <si>
    <t xml:space="preserve">Clause 8.8: Evaluation &amp; audit</t>
  </si>
  <si>
    <t xml:space="preserve">CAP inspection requirements</t>
  </si>
  <si>
    <t xml:space="preserve">QPS.6</t>
  </si>
  <si>
    <t xml:space="preserve">AABB audit</t>
  </si>
  <si>
    <t xml:space="preserve">Clause 8.9: Management review</t>
  </si>
  <si>
    <t xml:space="preserve">CAP management requirements</t>
  </si>
  <si>
    <t xml:space="preserve">GLD.4</t>
  </si>
  <si>
    <t xml:space="preserve">AABB management review</t>
  </si>
  <si>
    <t xml:space="preserve">Clause 8.5: Risk management</t>
  </si>
  <si>
    <t xml:space="preserve">CAP risk management</t>
  </si>
  <si>
    <t xml:space="preserve">QPS.1</t>
  </si>
  <si>
    <t xml:space="preserve">AABB risk management</t>
  </si>
  <si>
    <t xml:space="preserve">Point-of-Care Testing</t>
  </si>
  <si>
    <t xml:space="preserve">Clause 7.2.2: POCT</t>
  </si>
  <si>
    <t xml:space="preserve">CAP POCT requirements</t>
  </si>
  <si>
    <t xml:space="preserve">PCF.1-PCF.7</t>
  </si>
  <si>
    <t xml:space="preserve">AABB POCT</t>
  </si>
  <si>
    <t xml:space="preserve">Clause 7.1.4: Safety</t>
  </si>
  <si>
    <t xml:space="preserve">FMS.4, FMS.5</t>
  </si>
  <si>
    <t xml:space="preserve">Clause 8.7: Communication</t>
  </si>
  <si>
    <t xml:space="preserve">CAP client communication</t>
  </si>
  <si>
    <t xml:space="preserve">AABB communication</t>
  </si>
  <si>
    <t xml:space="preserve">STATUS_OPTIONS</t>
  </si>
  <si>
    <t xml:space="preserve">SCORE_MAP</t>
  </si>
  <si>
    <t xml:space="preserve">SEVERITY_OPTIONS</t>
  </si>
  <si>
    <t xml:space="preserve">SEV_SCORE</t>
  </si>
  <si>
    <t xml:space="preserve">LIKELIHOOD_OPTIONS</t>
  </si>
  <si>
    <t xml:space="preserve">LIKE_SCORE</t>
  </si>
  <si>
    <t xml:space="preserve">PHASE_OPTIONS</t>
  </si>
  <si>
    <t xml:space="preserve">DOMAIN_OPTIONS</t>
  </si>
  <si>
    <t xml:space="preserve">CAPA_STATUS</t>
  </si>
  <si>
    <t xml:space="preserve">EVIDENCE_STATUS</t>
  </si>
  <si>
    <t xml:space="preserve">Almost Certain</t>
  </si>
  <si>
    <t xml:space="preserve">Current</t>
  </si>
  <si>
    <t xml:space="preserve">Likely</t>
  </si>
  <si>
    <t xml:space="preserve">Prioritize</t>
  </si>
  <si>
    <t xml:space="preserve">Needs Update</t>
  </si>
  <si>
    <t xml:space="preserve">Possible</t>
  </si>
  <si>
    <t xml:space="preserve">Improve</t>
  </si>
  <si>
    <t xml:space="preserve">Missing</t>
  </si>
  <si>
    <t xml:space="preserve">N/A</t>
  </si>
  <si>
    <t xml:space="preserve">Unlikely</t>
  </si>
  <si>
    <t xml:space="preserve">Sustain</t>
  </si>
  <si>
    <t xml:space="preserve">Rare</t>
  </si>
  <si>
    <t xml:space="preserve">SOURCES &amp; DISCLAIMER</t>
  </si>
  <si>
    <t xml:space="preserve">STANDARDS REFERENCED</t>
  </si>
  <si>
    <t xml:space="preserve">• ISO 15189:2022 — Medical laboratories — Requirements for quality and competence (general concepts only)</t>
  </si>
  <si>
    <t xml:space="preserve">• CAP Accreditation Program — College of American Pathologists (public framework information)</t>
  </si>
  <si>
    <t xml:space="preserve">• JCI Accreditation Standards for Hospitals — Joint Commission International (public framework information)</t>
  </si>
  <si>
    <t xml:space="preserve">• AABB Standards — Association for the Advancement of Blood &amp; Biotherapies (public framework information)</t>
  </si>
  <si>
    <t xml:space="preserve">This toolkit is an independent readiness preparation tool provided by AHQS (Accelerate Healthcare Quality Solutions). It does not reproduce proprietary accreditation standard text. Audit questions are general readiness prompts based on publicly available concepts from ISO 15189, CAP, JCI, and AABB frameworks.
This toolkit does not constitute accreditation, certification, legal advice, or a guarantee of accreditation outcomes. Accreditation and certification decisions remain with the applicable authorized organizations. Users should refer to the official standards documents published by the respective accreditation bodies for complete and current requirements.
AHQS provides independent quality-improvement and accreditation-readiness consulting. Use of this toolkit does not create a consulting engagement. Any paid engagement begins only after a written scope, timeline, and professional fee proposal has been approved.</t>
  </si>
  <si>
    <t xml:space="preserve">© 2026 Accelerate Healthcare Quality Solutions (AHQS). All rights reserved.</t>
  </si>
  <si>
    <t xml:space="preserve">Contact: info@ahqshealthcare.com | +1 (984) 317-3711 | ahqshealthcare.com</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</si>
</sst>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
  </numFmts>
  <fonts count="33">
    <font>
      <sz val="11"/>
      <color theme="1"/>
      <name val="Calibri"/>
      <family val="2"/>
      <charset val="1"/>
    </font>
    <font>
      <sz val="10"/>
      <name val="Arial"/>
      <family val="0"/>
    </font>
    <font>
      <sz val="10"/>
      <name val="Arial"/>
      <family val="0"/>
    </font>
    <font>
      <sz val="10"/>
      <name val="Arial"/>
      <family val="0"/>
    </font>
    <font>
      <b val="true"/>
      <sz val="24"/>
      <color rgb="FF071F3B"/>
      <name val="Calibri"/>
      <family val="0"/>
      <charset val="1"/>
    </font>
    <font>
      <b val="true"/>
      <sz val="13"/>
      <color rgb="FF087F83"/>
      <name val="Calibri"/>
      <family val="0"/>
      <charset val="1"/>
    </font>
    <font>
      <sz val="11"/>
      <color rgb="FF667789"/>
      <name val="Calibri"/>
      <family val="0"/>
      <charset val="1"/>
    </font>
    <font>
      <sz val="10"/>
      <color rgb="FFD8A72B"/>
      <name val="Cambria"/>
      <family val="0"/>
      <charset val="1"/>
    </font>
    <font>
      <b val="true"/>
      <sz val="14"/>
      <color rgb="FF071F3B"/>
      <name val="Calibri"/>
      <family val="0"/>
      <charset val="1"/>
    </font>
    <font>
      <sz val="11"/>
      <color rgb="FF173047"/>
      <name val="Calibri"/>
      <family val="0"/>
      <charset val="1"/>
    </font>
    <font>
      <b val="true"/>
      <sz val="12"/>
      <color rgb="FFD8A72B"/>
      <name val="Calibri"/>
      <family val="0"/>
      <charset val="1"/>
    </font>
    <font>
      <sz val="10"/>
      <color rgb="FF667789"/>
      <name val="Calibri"/>
      <family val="0"/>
      <charset val="1"/>
    </font>
    <font>
      <b val="true"/>
      <sz val="20"/>
      <color rgb="FF071F3B"/>
      <name val="Calibri"/>
      <family val="0"/>
      <charset val="1"/>
    </font>
    <font>
      <b val="true"/>
      <sz val="12"/>
      <color rgb="FF087F83"/>
      <name val="Calibri"/>
      <family val="0"/>
      <charset val="1"/>
    </font>
    <font>
      <b val="true"/>
      <sz val="11"/>
      <color rgb="FF173047"/>
      <name val="Cambria"/>
      <family val="0"/>
      <charset val="1"/>
    </font>
    <font>
      <b val="true"/>
      <sz val="13"/>
      <color rgb="FF071F3B"/>
      <name val="Cambria"/>
      <family val="0"/>
      <charset val="1"/>
    </font>
    <font>
      <b val="true"/>
      <sz val="14"/>
      <color rgb="FF071F3B"/>
      <name val="Cambria"/>
      <family val="0"/>
      <charset val="1"/>
    </font>
    <font>
      <b val="true"/>
      <sz val="16"/>
      <color rgb="FF071F3B"/>
      <name val="Cambria"/>
      <family val="0"/>
      <charset val="1"/>
    </font>
    <font>
      <b val="true"/>
      <sz val="12"/>
      <color rgb="FF173047"/>
      <name val="Cambria"/>
      <family val="0"/>
      <charset val="1"/>
    </font>
    <font>
      <b val="true"/>
      <sz val="14"/>
      <name val="Cambria"/>
      <family val="0"/>
      <charset val="1"/>
    </font>
    <font>
      <b val="true"/>
      <sz val="11"/>
      <color rgb="FF071F3B"/>
      <name val="Cambria"/>
      <family val="0"/>
      <charset val="1"/>
    </font>
    <font>
      <b val="true"/>
      <sz val="11"/>
      <color rgb="FF9C0006"/>
      <name val="Cambria"/>
      <family val="0"/>
      <charset val="1"/>
    </font>
    <font>
      <b val="true"/>
      <sz val="11"/>
      <color rgb="FFFFFFFF"/>
      <name val="Calibri"/>
      <family val="0"/>
      <charset val="1"/>
    </font>
    <font>
      <b val="true"/>
      <sz val="12"/>
      <color rgb="FF071F3B"/>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173047"/>
      <name val="Calibri"/>
      <family val="0"/>
      <charset val="1"/>
    </font>
    <font>
      <b val="true"/>
      <sz val="11"/>
      <color rgb="FF071F3B"/>
      <name val="Calibri"/>
      <family val="0"/>
      <charset val="1"/>
    </font>
    <font>
      <b val="true"/>
      <sz val="12"/>
      <color rgb="FF071F3B"/>
      <name val="Calibri"/>
      <family val="0"/>
      <charset val="1"/>
    </font>
    <font>
      <b val="true"/>
      <sz val="11"/>
      <color rgb="FF006100"/>
      <name val="Cambria"/>
      <family val="0"/>
      <charset val="1"/>
    </font>
    <font>
      <b val="true"/>
      <sz val="11"/>
      <color rgb="FF9C6500"/>
      <name val="Cambria"/>
      <family val="0"/>
      <charset val="1"/>
    </font>
    <font>
      <b val="true"/>
      <sz val="9"/>
      <color rgb="FF667789"/>
      <name val="Cambria"/>
      <family val="0"/>
      <charset val="1"/>
    </font>
  </fonts>
  <fills count="4">
    <fill>
      <patternFill patternType="none"/>
    </fill>
    <fill>
      <patternFill patternType="gray125"/>
    </fill>
    <fill>
      <patternFill patternType="solid">
        <fgColor rgb="FFF5F8FA"/>
        <bgColor rgb="FFFFFFFF"/>
      </patternFill>
    </fill>
    <fill>
      <patternFill patternType="solid">
        <fgColor rgb="FF071F3B"/>
        <bgColor rgb="FF173047"/>
      </patternFill>
    </fill>
  </fills>
  <borders count="2">
    <border diagonalUp="false" diagonalDown="false">
      <left/>
      <right/>
      <top/>
      <bottom/>
      <diagonal/>
    </border>
    <border diagonalUp="false" diagonalDown="false">
      <left style="thin">
        <color rgb="FFDCE6EB"/>
      </left>
      <right style="thin">
        <color rgb="FFDCE6EB"/>
      </right>
      <top style="thin">
        <color rgb="FFDCE6EB"/>
      </top>
      <bottom style="thin">
        <color rgb="FFDCE6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6" fontId="17" fillId="2"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5" fontId="21"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6" fontId="23" fillId="2"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general" vertical="bottom" textRotation="0" wrapText="false" indent="0" shrinkToFit="false"/>
      <protection locked="true" hidden="false"/>
    </xf>
    <xf numFmtId="167" fontId="28" fillId="0"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left" vertical="top" textRotation="0" wrapText="true" indent="0" shrinkToFit="false"/>
      <protection locked="true" hidden="false"/>
    </xf>
    <xf numFmtId="166" fontId="9" fillId="2" borderId="1" xfId="0" applyFont="true" applyBorder="true" applyAlignment="true" applyProtection="false">
      <alignment horizontal="left" vertical="top"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6" fontId="23" fillId="2" borderId="0" xfId="0" applyFont="true" applyBorder="fals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left" vertical="top" textRotation="0" wrapText="tru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b val="1"/>
        <color rgb="FF006100"/>
        <sz val="14"/>
      </font>
      <fill>
        <patternFill>
          <bgColor rgb="FFC6EFCE"/>
        </patternFill>
      </fill>
    </dxf>
    <dxf>
      <font>
        <b val="1"/>
        <color rgb="FF9C6500"/>
        <sz val="14"/>
      </font>
      <fill>
        <patternFill>
          <bgColor rgb="FFFFEB9C"/>
        </patternFill>
      </fill>
    </dxf>
    <dxf>
      <font>
        <b val="1"/>
        <color rgb="FF9C0006"/>
        <sz val="14"/>
      </font>
      <fill>
        <patternFill>
          <bgColor rgb="FFFFC7CE"/>
        </patternFill>
      </fill>
    </dxf>
    <dxf>
      <fill>
        <patternFill patternType="solid">
          <fgColor rgb="FF071F3B"/>
          <bgColor rgb="FF000000"/>
        </patternFill>
      </fill>
    </dxf>
    <dxf>
      <fill>
        <patternFill patternType="solid">
          <bgColor rgb="FF000000"/>
        </patternFill>
      </fill>
    </dxf>
    <dxf>
      <fill>
        <patternFill patternType="solid">
          <fgColor rgb="FF173047"/>
          <bgColor rgb="FF000000"/>
        </patternFill>
      </fill>
    </dxf>
    <dxf>
      <fill>
        <patternFill patternType="solid">
          <fgColor rgb="FFFFFFFF"/>
          <bgColor rgb="FF000000"/>
        </patternFill>
      </fill>
    </dxf>
    <dxf>
      <fill>
        <patternFill patternType="solid">
          <fgColor rgb="FFF5F8FA"/>
          <bgColor rgb="FF000000"/>
        </patternFill>
      </fill>
    </dxf>
    <dxf>
      <font>
        <b val="1"/>
        <color rgb="FF9C0006"/>
      </font>
      <fill>
        <patternFill>
          <bgColor rgb="FFFFC7CE"/>
        </patternFill>
      </fill>
    </dxf>
    <dxf>
      <font>
        <b val="1"/>
        <color rgb="FF9C6500"/>
      </font>
      <fill>
        <patternFill>
          <bgColor rgb="FFFFEB9C"/>
        </patternFill>
      </fill>
    </dxf>
    <dxf>
      <font>
        <b val="1"/>
        <color rgb="FF006100"/>
      </font>
      <fill>
        <patternFill>
          <bgColor rgb="FFC6EFCE"/>
        </patternFill>
      </fill>
    </dxf>
    <dxf>
      <font>
        <b val="1"/>
        <color rgb="FF9C0006"/>
      </font>
      <fill>
        <patternFill>
          <bgColor rgb="FFFFC7CE"/>
        </patternFill>
      </fill>
    </dxf>
    <dxf>
      <font>
        <b val="1"/>
        <color rgb="FF9C6500"/>
      </font>
      <fill>
        <patternFill>
          <bgColor rgb="FFFFEB9C"/>
        </patternFill>
      </fill>
    </dxf>
    <dxf>
      <font>
        <b val="1"/>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87F83"/>
      <rgbColor rgb="FFB3B3B3"/>
      <rgbColor rgb="FF8064A2"/>
      <rgbColor rgb="FF9999FF"/>
      <rgbColor rgb="FFC0504D"/>
      <rgbColor rgb="FFF5F8FA"/>
      <rgbColor rgb="FFDCE6E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F81BD"/>
      <rgbColor rgb="FF4BACC6"/>
      <rgbColor rgb="FF9BBB59"/>
      <rgbColor rgb="FFFFCC00"/>
      <rgbColor rgb="FFD8A72B"/>
      <rgbColor rgb="FFFF6600"/>
      <rgbColor rgb="FF667789"/>
      <rgbColor rgb="FF969696"/>
      <rgbColor rgb="FF173047"/>
      <rgbColor rgb="FF339966"/>
      <rgbColor rgb="FF071F3B"/>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Compliance Status Distribution</a:t>
            </a:r>
          </a:p>
        </c:rich>
      </c:tx>
      <c:overlay val="0"/>
      <c:spPr>
        <a:noFill/>
        <a:ln w="0">
          <a:noFill/>
        </a:ln>
      </c:spPr>
    </c:title>
    <c:autoTitleDeleted val="0"/>
    <c:plotArea>
      <c:pieChart>
        <c:varyColors val="1"/>
        <c:ser>
          <c:idx val="0"/>
          <c:order val="0"/>
          <c:tx>
            <c:strRef>
              <c:f>Dashboard!C5</c:f>
              <c:strCache>
                <c:ptCount val="1"/>
                <c:pt idx="0">
                  <c:v>Count</c:v>
                </c:pt>
              </c:strCache>
            </c:strRef>
          </c:tx>
          <c:spPr>
            <a:solidFill>
              <a:srgbClr val="4F81BD"/>
            </a:solidFill>
            <a:ln w="12600">
              <a:noFill/>
            </a:ln>
          </c:spPr>
          <c:explosion val="0"/>
          <c:dPt>
            <c:idx val="0"/>
            <c:spPr>
              <a:solidFill>
                <a:srgbClr val="4F81BD"/>
              </a:solidFill>
              <a:ln w="12600">
                <a:noFill/>
              </a:ln>
            </c:spPr>
          </c:dPt>
          <c:dPt>
            <c:idx val="1"/>
            <c:spPr>
              <a:solidFill>
                <a:srgbClr val="C0504D"/>
              </a:solidFill>
              <a:ln w="12600">
                <a:noFill/>
              </a:ln>
            </c:spPr>
          </c:dPt>
          <c:dPt>
            <c:idx val="2"/>
            <c:spPr>
              <a:solidFill>
                <a:srgbClr val="9BBB59"/>
              </a:solidFill>
              <a:ln w="12600">
                <a:noFill/>
              </a:ln>
            </c:spPr>
          </c:dPt>
          <c:dPt>
            <c:idx val="3"/>
            <c:spPr>
              <a:solidFill>
                <a:srgbClr val="8064A2"/>
              </a:solidFill>
              <a:ln w="12600">
                <a:noFill/>
              </a:ln>
            </c:spPr>
          </c:dPt>
          <c:dPt>
            <c:idx val="4"/>
            <c:spPr>
              <a:solidFill>
                <a:srgbClr val="4BACC6"/>
              </a:solidFill>
              <a:ln w="12600">
                <a:noFill/>
              </a:ln>
            </c:spPr>
          </c:dPt>
          <c:dLbls>
            <c:dLbl>
              <c:idx val="0"/>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1"/>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2"/>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3"/>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4"/>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showLeaderLines val="1"/>
            <c:leaderLines>
              <c:spPr>
                <a:ln w="0">
                  <a:solidFill>
                    <a:srgbClr val="000000"/>
                  </a:solidFill>
                </a:ln>
              </c:spPr>
            </c:leaderLines>
          </c:dLbls>
          <c:cat>
            <c:strRef>
              <c:f>Dashboard!$B$6:$B$10</c:f>
              <c:strCache>
                <c:ptCount val="5"/>
                <c:pt idx="0">
                  <c:v>Compliant</c:v>
                </c:pt>
                <c:pt idx="1">
                  <c:v>Partial</c:v>
                </c:pt>
                <c:pt idx="2">
                  <c:v>Non-Compliant</c:v>
                </c:pt>
                <c:pt idx="3">
                  <c:v>Not Applicable</c:v>
                </c:pt>
                <c:pt idx="4">
                  <c:v>Pending</c:v>
                </c:pt>
              </c:strCache>
            </c:strRef>
          </c:cat>
          <c:val>
            <c:numRef>
              <c:f>Dashboard!$C$6:$C$10</c:f>
              <c:numCache>
                <c:formatCode>#,##0</c:formatCode>
                <c:ptCount val="5"/>
                <c:pt idx="0">
                  <c:v>0</c:v>
                </c:pt>
                <c:pt idx="1">
                  <c:v>0</c:v>
                </c:pt>
                <c:pt idx="2">
                  <c:v>0</c:v>
                </c:pt>
                <c:pt idx="3">
                  <c:v>0</c:v>
                </c:pt>
                <c:pt idx="4">
                  <c:v>147</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Readiness by Domain (%)</a:t>
            </a:r>
          </a:p>
        </c:rich>
      </c:tx>
      <c:overlay val="0"/>
      <c:spPr>
        <a:noFill/>
        <a:ln w="0">
          <a:noFill/>
        </a:ln>
      </c:spPr>
    </c:title>
    <c:autoTitleDeleted val="0"/>
    <c:plotArea>
      <c:barChart>
        <c:barDir val="bar"/>
        <c:grouping val="clustered"/>
        <c:varyColors val="0"/>
        <c:ser>
          <c:idx val="0"/>
          <c:order val="0"/>
          <c:tx>
            <c:strRef>
              <c:f>Dashboard!G5</c:f>
              <c:strCache>
                <c:ptCount val="1"/>
                <c:pt idx="0">
                  <c:v>Readiness %</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Dashboard!$F$6:$F$18</c:f>
              <c:strCache>
                <c:ptCount val="13"/>
                <c:pt idx="0">
                  <c:v>Quality Management System</c:v>
                </c:pt>
                <c:pt idx="1">
                  <c:v>Document Control</c:v>
                </c:pt>
                <c:pt idx="2">
                  <c:v>Personnel Competency</c:v>
                </c:pt>
                <c:pt idx="3">
                  <c:v>Equipment &amp; Instrumentation</c:v>
                </c:pt>
                <c:pt idx="4">
                  <c:v>Method Validation &amp; Verification</c:v>
                </c:pt>
                <c:pt idx="5">
                  <c:v>Sample Management</c:v>
                </c:pt>
                <c:pt idx="6">
                  <c:v>Examination Procedures</c:v>
                </c:pt>
                <c:pt idx="7">
                  <c:v>Quality Control</c:v>
                </c:pt>
                <c:pt idx="8">
                  <c:v>External Quality Assessment (PT/EQA)</c:v>
                </c:pt>
                <c:pt idx="9">
                  <c:v>Information Management (LIS)</c:v>
                </c:pt>
                <c:pt idx="10">
                  <c:v>Facility &amp; Safety</c:v>
                </c:pt>
                <c:pt idx="11">
                  <c:v>Transfusion Medicine</c:v>
                </c:pt>
                <c:pt idx="12">
                  <c:v/>
                </c:pt>
              </c:strCache>
            </c:strRef>
          </c:cat>
          <c:val>
            <c:numRef>
              <c:f>Dashboard!$G$6:$G$18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numCache>
            </c:numRef>
          </c:val>
        </c:ser>
        <c:gapWidth val="150"/>
        <c:overlap val="0"/>
        <c:axId val="17352396"/>
        <c:axId val="33879957"/>
      </c:barChart>
      <c:catAx>
        <c:axId val="17352396"/>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Domain</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3879957"/>
        <c:crosses val="autoZero"/>
        <c:auto val="1"/>
        <c:lblAlgn val="ctr"/>
        <c:lblOffset val="100"/>
        <c:noMultiLvlLbl val="0"/>
      </c:catAx>
      <c:valAx>
        <c:axId val="33879957"/>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Readiness %</a:t>
                </a:r>
              </a:p>
            </c:rich>
          </c:tx>
          <c:overlay val="0"/>
          <c:spPr>
            <a:noFill/>
            <a:ln w="0">
              <a:noFill/>
            </a:ln>
          </c:spPr>
        </c:title>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7352396"/>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3"/>
  <c:chart>
    <c:title>
      <c:tx>
        <c:rich>
          <a:bodyPr rot="0"/>
          <a:lstStyle/>
          <a:p>
            <a:pPr>
              <a:defRPr sz="1300" b="0" u="none" strike="noStrike">
                <a:uFillTx/>
                <a:latin typeface="Arial"/>
              </a:defRPr>
            </a:pPr>
            <a:r>
              <a:rPr sz="1800" b="1" u="none" strike="noStrike">
                <a:solidFill>
                  <a:srgbClr val="000000"/>
                </a:solidFill>
                <a:uFillTx/>
                <a:latin typeface="Calibri"/>
              </a:rPr>
              <a:t>Gap Severity Distribution</a:t>
            </a:r>
          </a:p>
        </c:rich>
      </c:tx>
      <c:overlay val="0"/>
      <c:spPr>
        <a:noFill/>
        <a:ln w="0">
          <a:noFill/>
        </a:ln>
      </c:spPr>
    </c:title>
    <c:autoTitleDeleted val="0"/>
    <c:plotArea>
      <c:barChart>
        <c:barDir val="col"/>
        <c:grouping val="clustered"/>
        <c:varyColors val="0"/>
        <c:ser>
          <c:idx val="0"/>
          <c:order val="0"/>
          <c:tx>
            <c:strRef>
              <c:f>Dashboard!C26</c:f>
              <c:strCache>
                <c:ptCount val="1"/>
                <c:pt idx="0">
                  <c:v>Count</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Dashboard!$B$27:$B$30</c:f>
              <c:strCache>
                <c:ptCount val="4"/>
                <c:pt idx="0">
                  <c:v>Critical</c:v>
                </c:pt>
                <c:pt idx="1">
                  <c:v>High</c:v>
                </c:pt>
                <c:pt idx="2">
                  <c:v>Medium</c:v>
                </c:pt>
                <c:pt idx="3">
                  <c:v>Low</c:v>
                </c:pt>
              </c:strCache>
            </c:strRef>
          </c:cat>
          <c:val>
            <c:numRef>
              <c:f>Dashboard!$C$27:$C$30</c:f>
              <c:numCache>
                <c:formatCode>#,##0</c:formatCode>
                <c:ptCount val="4"/>
                <c:pt idx="0">
                  <c:v>0</c:v>
                </c:pt>
                <c:pt idx="1">
                  <c:v>0</c:v>
                </c:pt>
                <c:pt idx="2">
                  <c:v>0</c:v>
                </c:pt>
                <c:pt idx="3">
                  <c:v>0</c:v>
                </c:pt>
              </c:numCache>
            </c:numRef>
          </c:val>
        </c:ser>
        <c:gapWidth val="150"/>
        <c:overlap val="0"/>
        <c:axId val="96014938"/>
        <c:axId val="51528442"/>
      </c:barChart>
      <c:catAx>
        <c:axId val="96014938"/>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Severity</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1528442"/>
        <c:crosses val="autoZero"/>
        <c:auto val="1"/>
        <c:lblAlgn val="ctr"/>
        <c:lblOffset val="100"/>
        <c:noMultiLvlLbl val="0"/>
      </c:catAx>
      <c:valAx>
        <c:axId val="5152844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Count</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601493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CAPA Status</a:t>
            </a:r>
          </a:p>
        </c:rich>
      </c:tx>
      <c:overlay val="0"/>
      <c:spPr>
        <a:noFill/>
        <a:ln w="0">
          <a:noFill/>
        </a:ln>
      </c:spPr>
    </c:title>
    <c:autoTitleDeleted val="0"/>
    <c:plotArea>
      <c:doughnutChart>
        <c:varyColors val="1"/>
        <c:ser>
          <c:idx val="0"/>
          <c:order val="0"/>
          <c:tx>
            <c:strRef>
              <c:f>Dashboard!G26</c:f>
              <c:strCache>
                <c:ptCount val="1"/>
                <c:pt idx="0">
                  <c:v>Count</c:v>
                </c:pt>
              </c:strCache>
            </c:strRef>
          </c:tx>
          <c:spPr>
            <a:solidFill>
              <a:srgbClr val="4F81BD"/>
            </a:solidFill>
            <a:ln w="12600">
              <a:noFill/>
            </a:ln>
          </c:spPr>
          <c:explosion val="0"/>
          <c:dPt>
            <c:idx val="0"/>
            <c:spPr>
              <a:solidFill>
                <a:srgbClr val="4F81BD"/>
              </a:solidFill>
              <a:ln w="12600">
                <a:noFill/>
              </a:ln>
            </c:spPr>
          </c:dPt>
          <c:dPt>
            <c:idx val="1"/>
            <c:spPr>
              <a:solidFill>
                <a:srgbClr val="C0504D"/>
              </a:solidFill>
              <a:ln w="12600">
                <a:noFill/>
              </a:ln>
            </c:spPr>
          </c:dPt>
          <c:dPt>
            <c:idx val="2"/>
            <c:spPr>
              <a:solidFill>
                <a:srgbClr val="9BBB59"/>
              </a:solidFill>
              <a:ln w="12600">
                <a:noFill/>
              </a:ln>
            </c:spPr>
          </c:dPt>
          <c:dPt>
            <c:idx val="3"/>
            <c:spPr>
              <a:solidFill>
                <a:srgbClr val="8064A2"/>
              </a:solidFill>
              <a:ln w="12600">
                <a:noFill/>
              </a:ln>
            </c:spPr>
          </c:dPt>
          <c:dPt>
            <c:idx val="4"/>
            <c:spPr>
              <a:solidFill>
                <a:srgbClr val="4BACC6"/>
              </a:solidFill>
              <a:ln w="1260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dLbl>
              <c:idx val="2"/>
              <c:txPr>
                <a:bodyPr wrap="none"/>
                <a:lstStyle/>
                <a:p>
                  <a:pPr>
                    <a:defRPr sz="1000" b="0" u="none" strike="noStrike">
                      <a:uFillTx/>
                      <a:latin typeface="Arial"/>
                    </a:defRPr>
                  </a:pPr>
                </a:p>
              </c:txPr>
              <c:showLegendKey val="0"/>
              <c:showVal val="0"/>
              <c:showCatName val="0"/>
              <c:showSerName val="0"/>
              <c:showPercent val="0"/>
              <c:separator> </c:separator>
            </c:dLbl>
            <c:dLbl>
              <c:idx val="3"/>
              <c:txPr>
                <a:bodyPr wrap="none"/>
                <a:lstStyle/>
                <a:p>
                  <a:pPr>
                    <a:defRPr sz="1000" b="0" u="none" strike="noStrike">
                      <a:uFillTx/>
                      <a:latin typeface="Arial"/>
                    </a:defRPr>
                  </a:pPr>
                </a:p>
              </c:txPr>
              <c:showLegendKey val="0"/>
              <c:showVal val="0"/>
              <c:showCatName val="0"/>
              <c:showSerName val="0"/>
              <c:showPercent val="0"/>
              <c:separator> </c:separator>
            </c:dLbl>
            <c:dLbl>
              <c:idx val="4"/>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Dashboard!$F$27:$F$31</c:f>
              <c:strCache>
                <c:ptCount val="5"/>
                <c:pt idx="0">
                  <c:v>Not Started</c:v>
                </c:pt>
                <c:pt idx="1">
                  <c:v>In Progress</c:v>
                </c:pt>
                <c:pt idx="2">
                  <c:v>Complete</c:v>
                </c:pt>
                <c:pt idx="3">
                  <c:v>Verified</c:v>
                </c:pt>
                <c:pt idx="4">
                  <c:v>Overdue</c:v>
                </c:pt>
              </c:strCache>
            </c:strRef>
          </c:cat>
          <c:val>
            <c:numRef>
              <c:f>Dashboard!$G$27:$G$31</c:f>
              <c:numCache>
                <c:formatCode>#,##0</c:formatCode>
                <c:ptCount val="5"/>
                <c:pt idx="0">
                  <c:v>0</c:v>
                </c:pt>
                <c:pt idx="1">
                  <c:v>0</c:v>
                </c:pt>
                <c:pt idx="2">
                  <c:v>0</c:v>
                </c:pt>
                <c:pt idx="3">
                  <c:v>0</c:v>
                </c:pt>
                <c:pt idx="4">
                  <c:v>0</c:v>
                </c:pt>
              </c:numCache>
            </c:numRef>
          </c:val>
        </c:ser>
        <c:firstSliceAng val="0"/>
        <c:holeSize val="50"/>
      </c:doughnut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62</xdr:row>
      <xdr:rowOff>0</xdr:rowOff>
    </xdr:from>
    <xdr:to>
      <xdr:col>5</xdr:col>
      <xdr:colOff>357120</xdr:colOff>
      <xdr:row>75</xdr:row>
      <xdr:rowOff>43200</xdr:rowOff>
    </xdr:to>
    <xdr:graphicFrame>
      <xdr:nvGraphicFramePr>
        <xdr:cNvPr id="1" name="Chart 1"/>
        <xdr:cNvGraphicFramePr/>
      </xdr:nvGraphicFramePr>
      <xdr:xfrm>
        <a:off x="211320" y="16773480"/>
        <a:ext cx="35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62</xdr:row>
      <xdr:rowOff>0</xdr:rowOff>
    </xdr:from>
    <xdr:to>
      <xdr:col>15</xdr:col>
      <xdr:colOff>480960</xdr:colOff>
      <xdr:row>80</xdr:row>
      <xdr:rowOff>170640</xdr:rowOff>
    </xdr:to>
    <xdr:graphicFrame>
      <xdr:nvGraphicFramePr>
        <xdr:cNvPr id="2" name="Chart 2"/>
        <xdr:cNvGraphicFramePr/>
      </xdr:nvGraphicFramePr>
      <xdr:xfrm>
        <a:off x="9163080" y="16773480"/>
        <a:ext cx="503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81</xdr:row>
      <xdr:rowOff>0</xdr:rowOff>
    </xdr:from>
    <xdr:to>
      <xdr:col>5</xdr:col>
      <xdr:colOff>357120</xdr:colOff>
      <xdr:row>94</xdr:row>
      <xdr:rowOff>43200</xdr:rowOff>
    </xdr:to>
    <xdr:graphicFrame>
      <xdr:nvGraphicFramePr>
        <xdr:cNvPr id="3" name="Chart 3"/>
        <xdr:cNvGraphicFramePr/>
      </xdr:nvGraphicFramePr>
      <xdr:xfrm>
        <a:off x="211320" y="20392920"/>
        <a:ext cx="359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81</xdr:row>
      <xdr:rowOff>0</xdr:rowOff>
    </xdr:from>
    <xdr:to>
      <xdr:col>13</xdr:col>
      <xdr:colOff>639360</xdr:colOff>
      <xdr:row>94</xdr:row>
      <xdr:rowOff>43200</xdr:rowOff>
    </xdr:to>
    <xdr:graphicFrame>
      <xdr:nvGraphicFramePr>
        <xdr:cNvPr id="4" name="Chart 4"/>
        <xdr:cNvGraphicFramePr/>
      </xdr:nvGraphicFramePr>
      <xdr:xfrm>
        <a:off x="9163080" y="20392920"/>
        <a:ext cx="3599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1F3B"/>
    <pageSetUpPr fitToPage="false"/>
  </sheetPr>
  <dimension ref="B2:B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90"/>
  </cols>
  <sheetData>
    <row r="2" customFormat="false" ht="39.75" hidden="false" customHeight="true" outlineLevel="0" collapsed="false">
      <c r="B2" s="2" t="s">
        <v>0</v>
      </c>
    </row>
    <row r="3" customFormat="false" ht="21.7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row>
    <row r="8" customFormat="false" ht="17.25" hidden="false" customHeight="true" outlineLevel="0" collapsed="false">
      <c r="B8" s="6" t="s">
        <v>4</v>
      </c>
    </row>
    <row r="9" customFormat="false" ht="79.5" hidden="false" customHeight="true" outlineLevel="0" collapsed="false">
      <c r="B9" s="7" t="s">
        <v>5</v>
      </c>
    </row>
    <row r="11" customFormat="false" ht="17.25" hidden="false" customHeight="true" outlineLevel="0" collapsed="false">
      <c r="B11" s="6" t="s">
        <v>6</v>
      </c>
    </row>
    <row r="12" customFormat="false" ht="15" hidden="false" customHeight="true" outlineLevel="0" collapsed="false">
      <c r="B12" s="8" t="s">
        <v>7</v>
      </c>
    </row>
    <row r="13" customFormat="false" ht="36" hidden="false" customHeight="true" outlineLevel="0" collapsed="false">
      <c r="B13" s="7" t="s">
        <v>8</v>
      </c>
    </row>
    <row r="14" customFormat="false" ht="15" hidden="false" customHeight="true" outlineLevel="0" collapsed="false">
      <c r="B14" s="8" t="s">
        <v>9</v>
      </c>
    </row>
    <row r="15" customFormat="false" ht="36" hidden="false" customHeight="true" outlineLevel="0" collapsed="false">
      <c r="B15" s="7" t="s">
        <v>10</v>
      </c>
    </row>
    <row r="16" customFormat="false" ht="15" hidden="false" customHeight="true" outlineLevel="0" collapsed="false">
      <c r="B16" s="8" t="s">
        <v>11</v>
      </c>
    </row>
    <row r="17" customFormat="false" ht="36" hidden="false" customHeight="true" outlineLevel="0" collapsed="false">
      <c r="B17" s="7" t="s">
        <v>12</v>
      </c>
    </row>
    <row r="18" customFormat="false" ht="15" hidden="false" customHeight="true" outlineLevel="0" collapsed="false">
      <c r="B18" s="8" t="s">
        <v>13</v>
      </c>
    </row>
    <row r="19" customFormat="false" ht="36" hidden="false" customHeight="true" outlineLevel="0" collapsed="false">
      <c r="B19" s="7" t="s">
        <v>14</v>
      </c>
    </row>
    <row r="21" customFormat="false" ht="17.25" hidden="false" customHeight="true" outlineLevel="0" collapsed="false">
      <c r="B21" s="6" t="s">
        <v>15</v>
      </c>
    </row>
    <row r="22" customFormat="false" ht="19.5" hidden="false" customHeight="true" outlineLevel="0" collapsed="false">
      <c r="B22" s="7" t="s">
        <v>16</v>
      </c>
    </row>
    <row r="23" customFormat="false" ht="19.5" hidden="false" customHeight="true" outlineLevel="0" collapsed="false">
      <c r="B23" s="7" t="s">
        <v>17</v>
      </c>
    </row>
    <row r="24" customFormat="false" ht="19.5" hidden="false" customHeight="true" outlineLevel="0" collapsed="false">
      <c r="B24" s="7" t="s">
        <v>18</v>
      </c>
    </row>
    <row r="25" customFormat="false" ht="19.5" hidden="false" customHeight="true" outlineLevel="0" collapsed="false">
      <c r="B25" s="7" t="s">
        <v>19</v>
      </c>
    </row>
    <row r="26" customFormat="false" ht="19.5" hidden="false" customHeight="true" outlineLevel="0" collapsed="false">
      <c r="B26" s="7" t="s">
        <v>20</v>
      </c>
    </row>
    <row r="27" customFormat="false" ht="19.5" hidden="false" customHeight="true" outlineLevel="0" collapsed="false">
      <c r="B27" s="7" t="s">
        <v>21</v>
      </c>
    </row>
    <row r="28" customFormat="false" ht="19.5" hidden="false" customHeight="true" outlineLevel="0" collapsed="false">
      <c r="B28" s="7" t="s">
        <v>22</v>
      </c>
    </row>
    <row r="29" customFormat="false" ht="19.5" hidden="false" customHeight="true" outlineLevel="0" collapsed="false">
      <c r="B29" s="7" t="s">
        <v>23</v>
      </c>
    </row>
    <row r="30" customFormat="false" ht="19.5" hidden="false" customHeight="true" outlineLevel="0" collapsed="false">
      <c r="B30" s="7" t="s">
        <v>24</v>
      </c>
    </row>
    <row r="31" customFormat="false" ht="19.5" hidden="false" customHeight="true" outlineLevel="0" collapsed="false">
      <c r="B31" s="7" t="s">
        <v>25</v>
      </c>
    </row>
    <row r="33" customFormat="false" ht="15" hidden="false" customHeight="true" outlineLevel="0" collapsed="false">
      <c r="B33" s="7" t="s">
        <v>26</v>
      </c>
    </row>
    <row r="34" customFormat="false" ht="15" hidden="false" customHeight="true" outlineLevel="0" collapsed="false">
      <c r="B34" s="7" t="s">
        <v>27</v>
      </c>
    </row>
    <row r="35" customFormat="false" ht="15" hidden="false" customHeight="true" outlineLevel="0" collapsed="false">
      <c r="B35" s="7" t="s">
        <v>28</v>
      </c>
    </row>
    <row r="36" customFormat="false" ht="15" hidden="false" customHeight="true" outlineLevel="0" collapsed="false">
      <c r="B36" s="7" t="s">
        <v>29</v>
      </c>
    </row>
    <row r="38" customFormat="false" ht="60" hidden="false" customHeight="true" outlineLevel="0" collapsed="false">
      <c r="B38" s="9" t="s">
        <v>30</v>
      </c>
    </row>
    <row r="39" customFormat="false" ht="17.25" hidden="false" customHeight="true" outlineLevel="0" collapsed="false">
      <c r="B39" s="6"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3"/>
    <pageSetUpPr fitToPage="false"/>
  </sheetPr>
  <dimension ref="B2: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25"/>
    <col collapsed="false" customWidth="true" hidden="false" outlineLevel="0" max="3" min="3" style="1" width="20"/>
    <col collapsed="false" customWidth="true" hidden="false" outlineLevel="0" max="6" min="4" style="1" width="15"/>
  </cols>
  <sheetData>
    <row r="2" customFormat="false" ht="24" hidden="false" customHeight="true" outlineLevel="0" collapsed="false">
      <c r="B2" s="10" t="s">
        <v>32</v>
      </c>
      <c r="C2" s="10"/>
      <c r="D2" s="10"/>
      <c r="E2" s="10"/>
      <c r="F2" s="10"/>
    </row>
    <row r="3" customFormat="false" ht="15" hidden="false" customHeight="true" outlineLevel="0" collapsed="false">
      <c r="B3" s="11" t="s">
        <v>33</v>
      </c>
      <c r="C3" s="11"/>
      <c r="D3" s="11"/>
      <c r="E3" s="11"/>
      <c r="F3" s="11"/>
    </row>
    <row r="5" customFormat="false" ht="15" hidden="false" customHeight="true" outlineLevel="0" collapsed="false">
      <c r="B5" s="12" t="s">
        <v>34</v>
      </c>
      <c r="C5" s="1" t="n">
        <f aca="false">'Assessment Setup'!C5</f>
        <v>0</v>
      </c>
    </row>
    <row r="6" customFormat="false" ht="15" hidden="false" customHeight="true" outlineLevel="0" collapsed="false">
      <c r="B6" s="12" t="s">
        <v>35</v>
      </c>
      <c r="C6" s="1" t="n">
        <f aca="false">'Assessment Setup'!C6</f>
        <v>0</v>
      </c>
    </row>
    <row r="7" customFormat="false" ht="15" hidden="false" customHeight="true" outlineLevel="0" collapsed="false">
      <c r="B7" s="12" t="s">
        <v>36</v>
      </c>
      <c r="C7" s="1" t="n">
        <f aca="false">'Assessment Setup'!C9</f>
        <v>0</v>
      </c>
    </row>
    <row r="8" customFormat="false" ht="15" hidden="false" customHeight="true" outlineLevel="0" collapsed="false">
      <c r="B8" s="12" t="s">
        <v>37</v>
      </c>
      <c r="C8" s="1" t="str">
        <f aca="false">'Assessment Setup'!C11</f>
        <v>ISO 15189 / CAP / JCI / AABB</v>
      </c>
    </row>
    <row r="10" customFormat="false" ht="17.25" hidden="false" customHeight="true" outlineLevel="0" collapsed="false">
      <c r="B10" s="6" t="s">
        <v>38</v>
      </c>
    </row>
    <row r="11" customFormat="false" ht="15.75" hidden="false" customHeight="true" outlineLevel="0" collapsed="false">
      <c r="B11" s="13" t="s">
        <v>39</v>
      </c>
      <c r="C11" s="14" t="n">
        <f aca="false">COUNTA('Master Audit Tool'!B5:B151)</f>
        <v>147</v>
      </c>
    </row>
    <row r="12" customFormat="false" ht="15.75" hidden="false" customHeight="true" outlineLevel="0" collapsed="false">
      <c r="B12" s="13" t="s">
        <v>40</v>
      </c>
      <c r="C12" s="14" t="n">
        <f aca="false">COUNTIF('Master Audit Tool'!I5:I151,"Compliant")</f>
        <v>0</v>
      </c>
    </row>
    <row r="13" customFormat="false" ht="15.75" hidden="false" customHeight="true" outlineLevel="0" collapsed="false">
      <c r="B13" s="13" t="s">
        <v>41</v>
      </c>
      <c r="C13" s="14" t="n">
        <f aca="false">COUNTIF('Master Audit Tool'!I5:I151,"Partial")</f>
        <v>0</v>
      </c>
    </row>
    <row r="14" customFormat="false" ht="15.75" hidden="false" customHeight="true" outlineLevel="0" collapsed="false">
      <c r="B14" s="13" t="s">
        <v>42</v>
      </c>
      <c r="C14" s="14" t="n">
        <f aca="false">COUNTIF('Master Audit Tool'!I5:I151,"Non-Compliant")</f>
        <v>0</v>
      </c>
    </row>
    <row r="15" customFormat="false" ht="15.75" hidden="false" customHeight="true" outlineLevel="0" collapsed="false">
      <c r="B15" s="13" t="s">
        <v>43</v>
      </c>
      <c r="C15" s="14" t="n">
        <f aca="false">COUNTIF('Master Audit Tool'!I5:I151,"Not Applicable")</f>
        <v>0</v>
      </c>
    </row>
    <row r="16" customFormat="false" ht="15.75" hidden="false" customHeight="true" outlineLevel="0" collapsed="false">
      <c r="B16" s="13" t="s">
        <v>44</v>
      </c>
      <c r="C16" s="14" t="n">
        <f aca="false">COUNTBLANK('Master Audit Tool'!I5:I151)</f>
        <v>147</v>
      </c>
    </row>
    <row r="18" customFormat="false" ht="19.5" hidden="false" customHeight="true" outlineLevel="0" collapsed="false">
      <c r="B18" s="15" t="s">
        <v>45</v>
      </c>
      <c r="C18" s="16" t="n">
        <f aca="false">IFERROR(AVERAGEIF('Master Audit Tool'!J5:J151,"&gt;=0"),0)</f>
        <v>0</v>
      </c>
    </row>
    <row r="19" customFormat="false" ht="17.25" hidden="false" customHeight="true" outlineLevel="0" collapsed="false">
      <c r="B19" s="17" t="s">
        <v>46</v>
      </c>
      <c r="C19" s="18" t="str">
        <f aca="false">IF(C18&gt;=0.85,"READY",IF(C18&gt;=0.6,"NEEDS FOCUS","HIGH RISK"))</f>
        <v>HIGH RISK</v>
      </c>
    </row>
    <row r="21" customFormat="false" ht="17.25" hidden="false" customHeight="true" outlineLevel="0" collapsed="false">
      <c r="B21" s="6" t="s">
        <v>47</v>
      </c>
    </row>
    <row r="22" customFormat="false" ht="15" hidden="false" customHeight="true" outlineLevel="0" collapsed="false">
      <c r="B22" s="12" t="s">
        <v>48</v>
      </c>
      <c r="C22" s="19" t="n">
        <f aca="false">COUNTIF('Gap Register'!B5:B34,"GAP-*")</f>
        <v>30</v>
      </c>
    </row>
    <row r="23" customFormat="false" ht="15" hidden="false" customHeight="true" outlineLevel="0" collapsed="false">
      <c r="B23" s="20" t="s">
        <v>49</v>
      </c>
      <c r="C23" s="21" t="n">
        <f aca="false">COUNTIFS('Gap Register'!G5:G34,"High")+COUNTIFS('Gap Register'!G5:G34,"Critical")</f>
        <v>0</v>
      </c>
    </row>
    <row r="24" customFormat="false" ht="15" hidden="false" customHeight="true" outlineLevel="0" collapsed="false">
      <c r="B24" s="20" t="s">
        <v>50</v>
      </c>
      <c r="C24" s="21" t="n">
        <f aca="false">COUNTIF('CAPA Action Plan'!L5:L34,"OVERDUE")</f>
        <v>0</v>
      </c>
    </row>
    <row r="26" customFormat="false" ht="17.25" hidden="false" customHeight="true" outlineLevel="0" collapsed="false">
      <c r="B26" s="6" t="s">
        <v>51</v>
      </c>
    </row>
    <row r="27" customFormat="false" ht="60" hidden="false" customHeight="true" outlineLevel="0" collapsed="false">
      <c r="B27" s="22" t="s">
        <v>52</v>
      </c>
      <c r="C27" s="22"/>
      <c r="D27" s="22"/>
      <c r="E27" s="22"/>
      <c r="F27" s="22"/>
    </row>
    <row r="28" customFormat="false" ht="15" hidden="false" customHeight="true" outlineLevel="0" collapsed="false">
      <c r="B28" s="22"/>
      <c r="C28" s="22"/>
      <c r="D28" s="22"/>
      <c r="E28" s="22"/>
      <c r="F28" s="22"/>
    </row>
    <row r="29" customFormat="false" ht="15" hidden="false" customHeight="true" outlineLevel="0" collapsed="false">
      <c r="B29" s="22"/>
      <c r="C29" s="22"/>
      <c r="D29" s="22"/>
      <c r="E29" s="22"/>
      <c r="F29" s="22"/>
    </row>
  </sheetData>
  <mergeCells count="3">
    <mergeCell ref="B2:F2"/>
    <mergeCell ref="B3:F3"/>
    <mergeCell ref="B27:F29"/>
  </mergeCells>
  <conditionalFormatting sqref="C19">
    <cfRule type="cellIs" priority="2" operator="equal" aboveAverage="0" equalAverage="0" bottom="0" percent="0" rank="0" text="" dxfId="0">
      <formula>"READY"</formula>
    </cfRule>
    <cfRule type="cellIs" priority="3" operator="equal" aboveAverage="0" equalAverage="0" bottom="0" percent="0" rank="0" text="" dxfId="1">
      <formula>"NEEDS FOCUS"</formula>
    </cfRule>
    <cfRule type="cellIs" priority="4" operator="equal" aboveAverage="0" equalAverage="0" bottom="0" percent="0" rank="0" text="" dxfId="2">
      <formula>"HIGH RISK"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8A72B"/>
    <pageSetUpPr fitToPage="false"/>
  </sheetPr>
  <dimension ref="B2:N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8"/>
    <col collapsed="false" customWidth="true" hidden="false" outlineLevel="0" max="4" min="3" style="1" width="12"/>
    <col collapsed="false" customWidth="true" hidden="false" outlineLevel="0" max="5" min="5" style="1" width="4"/>
    <col collapsed="false" customWidth="true" hidden="false" outlineLevel="0" max="6" min="6" style="1" width="25"/>
    <col collapsed="false" customWidth="true" hidden="false" outlineLevel="0" max="14" min="7" style="1" width="14"/>
  </cols>
  <sheetData>
    <row r="2" customFormat="false" ht="24" hidden="false" customHeight="true" outlineLevel="0" collapsed="false">
      <c r="B2" s="10" t="s">
        <v>53</v>
      </c>
      <c r="C2" s="10"/>
      <c r="D2" s="10"/>
      <c r="E2" s="10"/>
      <c r="F2" s="10"/>
      <c r="G2" s="10"/>
      <c r="H2" s="10"/>
      <c r="I2" s="10"/>
      <c r="J2" s="10"/>
      <c r="K2" s="10"/>
      <c r="L2" s="10"/>
      <c r="M2" s="10"/>
      <c r="N2" s="10"/>
    </row>
    <row r="4" customFormat="false" ht="17.25" hidden="false" customHeight="true" outlineLevel="0" collapsed="false">
      <c r="B4" s="6" t="s">
        <v>54</v>
      </c>
      <c r="F4" s="6" t="s">
        <v>55</v>
      </c>
    </row>
    <row r="5" customFormat="false" ht="15" hidden="false" customHeight="true" outlineLevel="0" collapsed="false">
      <c r="B5" s="23" t="s">
        <v>56</v>
      </c>
      <c r="C5" s="23" t="s">
        <v>57</v>
      </c>
      <c r="D5" s="23" t="s">
        <v>58</v>
      </c>
      <c r="F5" s="23" t="s">
        <v>59</v>
      </c>
      <c r="G5" s="23" t="s">
        <v>60</v>
      </c>
    </row>
    <row r="6" customFormat="false" ht="27.75" hidden="false" customHeight="true" outlineLevel="0" collapsed="false">
      <c r="B6" s="24" t="s">
        <v>61</v>
      </c>
      <c r="C6" s="25" t="n">
        <f aca="false">COUNTIF('Master Audit Tool'!I5:I151,"Compliant")</f>
        <v>0</v>
      </c>
      <c r="D6" s="26" t="n">
        <f aca="false">IFERROR(C6/SUM($C$6:$C$10),0)</f>
        <v>0</v>
      </c>
      <c r="F6" s="24" t="s">
        <v>62</v>
      </c>
      <c r="G6" s="26" t="n">
        <f aca="false">IFERROR(SUMIFS('Master Audit Tool'!J5:J151,'Master Audit Tool'!D5:D151,F6,'Master Audit Tool'!J5:J151,"&gt;=0")/COUNTIFS('Master Audit Tool'!D5:D151,F6,'Master Audit Tool'!J5:J151,"&gt;=0"),0)</f>
        <v>0</v>
      </c>
    </row>
    <row r="7" customFormat="false" ht="15" hidden="false" customHeight="true" outlineLevel="0" collapsed="false">
      <c r="B7" s="24" t="s">
        <v>63</v>
      </c>
      <c r="C7" s="25" t="n">
        <f aca="false">COUNTIF('Master Audit Tool'!I5:I151,"Partial")</f>
        <v>0</v>
      </c>
      <c r="D7" s="26" t="n">
        <f aca="false">IFERROR(C7/SUM($C$6:$C$10),0)</f>
        <v>0</v>
      </c>
      <c r="F7" s="24" t="s">
        <v>64</v>
      </c>
      <c r="G7" s="26" t="n">
        <f aca="false">IFERROR(SUMIFS('Master Audit Tool'!J5:J151,'Master Audit Tool'!D5:D151,F7,'Master Audit Tool'!J5:J151,"&gt;=0")/COUNTIFS('Master Audit Tool'!D5:D151,F7,'Master Audit Tool'!J5:J151,"&gt;=0"),0)</f>
        <v>0</v>
      </c>
    </row>
    <row r="8" customFormat="false" ht="15" hidden="false" customHeight="true" outlineLevel="0" collapsed="false">
      <c r="B8" s="24" t="s">
        <v>65</v>
      </c>
      <c r="C8" s="25" t="n">
        <f aca="false">COUNTIF('Master Audit Tool'!I5:I151,"Non-Compliant")</f>
        <v>0</v>
      </c>
      <c r="D8" s="26" t="n">
        <f aca="false">IFERROR(C8/SUM($C$6:$C$10),0)</f>
        <v>0</v>
      </c>
      <c r="F8" s="24" t="s">
        <v>66</v>
      </c>
      <c r="G8" s="26" t="n">
        <f aca="false">IFERROR(SUMIFS('Master Audit Tool'!J5:J151,'Master Audit Tool'!D5:D151,F8,'Master Audit Tool'!J5:J151,"&gt;=0")/COUNTIFS('Master Audit Tool'!D5:D151,F8,'Master Audit Tool'!J5:J151,"&gt;=0"),0)</f>
        <v>0</v>
      </c>
    </row>
    <row r="9" customFormat="false" ht="27.75" hidden="false" customHeight="true" outlineLevel="0" collapsed="false">
      <c r="B9" s="24" t="s">
        <v>43</v>
      </c>
      <c r="C9" s="25" t="n">
        <f aca="false">COUNTIF('Master Audit Tool'!I5:I151,"Not Applicable")</f>
        <v>0</v>
      </c>
      <c r="D9" s="26" t="n">
        <f aca="false">IFERROR(C9/SUM($C$6:$C$10),0)</f>
        <v>0</v>
      </c>
      <c r="F9" s="24" t="s">
        <v>67</v>
      </c>
      <c r="G9" s="26" t="n">
        <f aca="false">IFERROR(SUMIFS('Master Audit Tool'!J5:J151,'Master Audit Tool'!D5:D151,F9,'Master Audit Tool'!J5:J151,"&gt;=0")/COUNTIFS('Master Audit Tool'!D5:D151,F9,'Master Audit Tool'!J5:J151,"&gt;=0"),0)</f>
        <v>0</v>
      </c>
    </row>
    <row r="10" customFormat="false" ht="27.75" hidden="false" customHeight="true" outlineLevel="0" collapsed="false">
      <c r="B10" s="24" t="s">
        <v>68</v>
      </c>
      <c r="C10" s="25" t="n">
        <f aca="false">COUNTBLANK('Master Audit Tool'!I5:I151)</f>
        <v>147</v>
      </c>
      <c r="D10" s="26" t="n">
        <f aca="false">IFERROR(C10/SUM($C$6:$C$10),0)</f>
        <v>1</v>
      </c>
      <c r="F10" s="24" t="s">
        <v>69</v>
      </c>
      <c r="G10" s="26" t="n">
        <f aca="false">IFERROR(SUMIFS('Master Audit Tool'!J5:J151,'Master Audit Tool'!D5:D151,F10,'Master Audit Tool'!J5:J151,"&gt;=0")/COUNTIFS('Master Audit Tool'!D5:D151,F10,'Master Audit Tool'!J5:J151,"&gt;=0"),0)</f>
        <v>0</v>
      </c>
    </row>
    <row r="11" customFormat="false" ht="15" hidden="false" customHeight="true" outlineLevel="0" collapsed="false">
      <c r="F11" s="24" t="s">
        <v>70</v>
      </c>
      <c r="G11" s="26" t="n">
        <f aca="false">IFERROR(SUMIFS('Master Audit Tool'!J5:J151,'Master Audit Tool'!D5:D151,F11,'Master Audit Tool'!J5:J151,"&gt;=0")/COUNTIFS('Master Audit Tool'!D5:D151,F11,'Master Audit Tool'!J5:J151,"&gt;=0"),0)</f>
        <v>0</v>
      </c>
    </row>
    <row r="12" customFormat="false" ht="15" hidden="false" customHeight="true" outlineLevel="0" collapsed="false">
      <c r="F12" s="24" t="s">
        <v>71</v>
      </c>
      <c r="G12" s="26" t="n">
        <f aca="false">IFERROR(SUMIFS('Master Audit Tool'!J5:J151,'Master Audit Tool'!D5:D151,F12,'Master Audit Tool'!J5:J151,"&gt;=0")/COUNTIFS('Master Audit Tool'!D5:D151,F12,'Master Audit Tool'!J5:J151,"&gt;=0"),0)</f>
        <v>0</v>
      </c>
    </row>
    <row r="13" customFormat="false" ht="15" hidden="false" customHeight="true" outlineLevel="0" collapsed="false">
      <c r="F13" s="24" t="s">
        <v>72</v>
      </c>
      <c r="G13" s="26" t="n">
        <f aca="false">IFERROR(SUMIFS('Master Audit Tool'!J5:J151,'Master Audit Tool'!D5:D151,F13,'Master Audit Tool'!J5:J151,"&gt;=0")/COUNTIFS('Master Audit Tool'!D5:D151,F13,'Master Audit Tool'!J5:J151,"&gt;=0"),0)</f>
        <v>0</v>
      </c>
    </row>
    <row r="14" customFormat="false" ht="27.75" hidden="false" customHeight="true" outlineLevel="0" collapsed="false">
      <c r="F14" s="24" t="s">
        <v>73</v>
      </c>
      <c r="G14" s="26" t="n">
        <f aca="false">IFERROR(SUMIFS('Master Audit Tool'!J5:J151,'Master Audit Tool'!D5:D151,F14,'Master Audit Tool'!J5:J151,"&gt;=0")/COUNTIFS('Master Audit Tool'!D5:D151,F14,'Master Audit Tool'!J5:J151,"&gt;=0"),0)</f>
        <v>0</v>
      </c>
    </row>
    <row r="15" customFormat="false" ht="27.75" hidden="false" customHeight="true" outlineLevel="0" collapsed="false">
      <c r="F15" s="24" t="s">
        <v>74</v>
      </c>
      <c r="G15" s="26" t="n">
        <f aca="false">IFERROR(SUMIFS('Master Audit Tool'!J5:J151,'Master Audit Tool'!D5:D151,F15,'Master Audit Tool'!J5:J151,"&gt;=0")/COUNTIFS('Master Audit Tool'!D5:D151,F15,'Master Audit Tool'!J5:J151,"&gt;=0"),0)</f>
        <v>0</v>
      </c>
    </row>
    <row r="16" customFormat="false" ht="15" hidden="false" customHeight="true" outlineLevel="0" collapsed="false">
      <c r="F16" s="24" t="s">
        <v>75</v>
      </c>
      <c r="G16" s="26" t="n">
        <f aca="false">IFERROR(SUMIFS('Master Audit Tool'!J5:J151,'Master Audit Tool'!D5:D151,F16,'Master Audit Tool'!J5:J151,"&gt;=0")/COUNTIFS('Master Audit Tool'!D5:D151,F16,'Master Audit Tool'!J5:J151,"&gt;=0"),0)</f>
        <v>0</v>
      </c>
    </row>
    <row r="17" customFormat="false" ht="15" hidden="false" customHeight="true" outlineLevel="0" collapsed="false">
      <c r="F17" s="24" t="s">
        <v>76</v>
      </c>
      <c r="G17" s="26" t="n">
        <f aca="false">IFERROR(SUMIFS('Master Audit Tool'!J5:J151,'Master Audit Tool'!D5:D151,F17,'Master Audit Tool'!J5:J151,"&gt;=0")/COUNTIFS('Master Audit Tool'!D5:D151,F17,'Master Audit Tool'!J5:J151,"&gt;=0"),0)</f>
        <v>0</v>
      </c>
    </row>
    <row r="19" customFormat="false" ht="15" hidden="false" customHeight="true" outlineLevel="0" collapsed="false">
      <c r="F19" s="27" t="s">
        <v>77</v>
      </c>
      <c r="G19" s="28" t="n">
        <f aca="false">IFERROR(AVERAGEIF('Master Audit Tool'!J5:J151,"&gt;=0"),0)</f>
        <v>0</v>
      </c>
    </row>
    <row r="25" customFormat="false" ht="17.25" hidden="false" customHeight="true" outlineLevel="0" collapsed="false">
      <c r="B25" s="6" t="s">
        <v>78</v>
      </c>
      <c r="F25" s="6" t="s">
        <v>79</v>
      </c>
    </row>
    <row r="26" customFormat="false" ht="15" hidden="false" customHeight="true" outlineLevel="0" collapsed="false">
      <c r="B26" s="23" t="s">
        <v>80</v>
      </c>
      <c r="C26" s="23" t="s">
        <v>57</v>
      </c>
      <c r="F26" s="23" t="s">
        <v>81</v>
      </c>
      <c r="G26" s="23" t="s">
        <v>57</v>
      </c>
    </row>
    <row r="27" customFormat="false" ht="15" hidden="false" customHeight="true" outlineLevel="0" collapsed="false">
      <c r="B27" s="29" t="s">
        <v>82</v>
      </c>
      <c r="C27" s="25" t="n">
        <f aca="false">COUNTIF('Gap Register'!G5:G34,"Critical")</f>
        <v>0</v>
      </c>
      <c r="F27" s="29" t="s">
        <v>83</v>
      </c>
      <c r="G27" s="25" t="n">
        <f aca="false">COUNTIF('CAPA Action Plan'!K5:K34,"Not Started")</f>
        <v>0</v>
      </c>
    </row>
    <row r="28" customFormat="false" ht="15" hidden="false" customHeight="true" outlineLevel="0" collapsed="false">
      <c r="B28" s="29" t="s">
        <v>84</v>
      </c>
      <c r="C28" s="25" t="n">
        <f aca="false">COUNTIF('Gap Register'!G5:G34,"High")</f>
        <v>0</v>
      </c>
      <c r="F28" s="29" t="s">
        <v>85</v>
      </c>
      <c r="G28" s="25" t="n">
        <f aca="false">COUNTIF('CAPA Action Plan'!K5:K34,"In Progress")</f>
        <v>0</v>
      </c>
    </row>
    <row r="29" customFormat="false" ht="15" hidden="false" customHeight="true" outlineLevel="0" collapsed="false">
      <c r="B29" s="29" t="s">
        <v>86</v>
      </c>
      <c r="C29" s="25" t="n">
        <f aca="false">COUNTIF('Gap Register'!G5:G34,"Medium")</f>
        <v>0</v>
      </c>
      <c r="F29" s="29" t="s">
        <v>87</v>
      </c>
      <c r="G29" s="25" t="n">
        <f aca="false">COUNTIF('CAPA Action Plan'!K5:K34,"Complete")</f>
        <v>0</v>
      </c>
    </row>
    <row r="30" customFormat="false" ht="15" hidden="false" customHeight="true" outlineLevel="0" collapsed="false">
      <c r="B30" s="29" t="s">
        <v>88</v>
      </c>
      <c r="C30" s="25" t="n">
        <f aca="false">COUNTIF('Gap Register'!G5:G34,"Low")</f>
        <v>0</v>
      </c>
      <c r="F30" s="29" t="s">
        <v>89</v>
      </c>
      <c r="G30" s="25" t="n">
        <f aca="false">COUNTIF('CAPA Action Plan'!K5:K34,"Verified")</f>
        <v>0</v>
      </c>
    </row>
    <row r="31" customFormat="false" ht="15" hidden="false" customHeight="true" outlineLevel="0" collapsed="false">
      <c r="F31" s="29" t="s">
        <v>90</v>
      </c>
      <c r="G31" s="25" t="n">
        <f aca="false">COUNTIF('CAPA Action Plan'!K5:K34,"Overdue")</f>
        <v>0</v>
      </c>
    </row>
    <row r="33" customFormat="false" ht="17.25" hidden="false" customHeight="true" outlineLevel="0" collapsed="false">
      <c r="B33" s="6" t="s">
        <v>91</v>
      </c>
    </row>
    <row r="34" customFormat="false" ht="27.75" hidden="false" customHeight="true" outlineLevel="0" collapsed="false">
      <c r="B34" s="23" t="s">
        <v>59</v>
      </c>
      <c r="C34" s="23" t="s">
        <v>92</v>
      </c>
    </row>
    <row r="35" customFormat="false" ht="41.25" hidden="false" customHeight="true" outlineLevel="0" collapsed="false">
      <c r="B35" s="24" t="s">
        <v>62</v>
      </c>
      <c r="C35" s="30" t="n">
        <f aca="false">IFERROR(AVERAGEIFS('Master Audit Tool'!M5:M67,'Master Audit Tool'!D5:D67,B35,'Master Audit Tool'!M5:M67,"&gt;0"),0)</f>
        <v>0</v>
      </c>
    </row>
    <row r="36" customFormat="false" ht="15" hidden="false" customHeight="true" outlineLevel="0" collapsed="false">
      <c r="B36" s="24" t="s">
        <v>64</v>
      </c>
      <c r="C36" s="30" t="n">
        <f aca="false">IFERROR(AVERAGEIFS('Master Audit Tool'!M5:M67,'Master Audit Tool'!D5:D67,B36,'Master Audit Tool'!M5:M67,"&gt;0"),0)</f>
        <v>0</v>
      </c>
    </row>
    <row r="37" customFormat="false" ht="27.75" hidden="false" customHeight="true" outlineLevel="0" collapsed="false">
      <c r="B37" s="24" t="s">
        <v>66</v>
      </c>
      <c r="C37" s="30" t="n">
        <f aca="false">IFERROR(AVERAGEIFS('Master Audit Tool'!M5:M67,'Master Audit Tool'!D5:D67,B37,'Master Audit Tool'!M5:M67,"&gt;0"),0)</f>
        <v>0</v>
      </c>
    </row>
    <row r="38" customFormat="false" ht="27.75" hidden="false" customHeight="true" outlineLevel="0" collapsed="false">
      <c r="B38" s="24" t="s">
        <v>67</v>
      </c>
      <c r="C38" s="30" t="n">
        <f aca="false">IFERROR(AVERAGEIFS('Master Audit Tool'!M5:M67,'Master Audit Tool'!D5:D67,B38,'Master Audit Tool'!M5:M67,"&gt;0"),0)</f>
        <v>0</v>
      </c>
    </row>
    <row r="39" customFormat="false" ht="27.75" hidden="false" customHeight="true" outlineLevel="0" collapsed="false">
      <c r="B39" s="24" t="s">
        <v>69</v>
      </c>
      <c r="C39" s="30" t="n">
        <f aca="false">IFERROR(AVERAGEIFS('Master Audit Tool'!M5:M67,'Master Audit Tool'!D5:D67,B39,'Master Audit Tool'!M5:M67,"&gt;0"),0)</f>
        <v>0</v>
      </c>
    </row>
    <row r="40" customFormat="false" ht="27.75" hidden="false" customHeight="true" outlineLevel="0" collapsed="false">
      <c r="B40" s="24" t="s">
        <v>70</v>
      </c>
      <c r="C40" s="30" t="n">
        <f aca="false">IFERROR(AVERAGEIFS('Master Audit Tool'!M5:M67,'Master Audit Tool'!D5:D67,B40,'Master Audit Tool'!M5:M67,"&gt;0"),0)</f>
        <v>0</v>
      </c>
    </row>
    <row r="41" customFormat="false" ht="27.75" hidden="false" customHeight="true" outlineLevel="0" collapsed="false">
      <c r="B41" s="24" t="s">
        <v>71</v>
      </c>
      <c r="C41" s="30" t="n">
        <f aca="false">IFERROR(AVERAGEIFS('Master Audit Tool'!M5:M67,'Master Audit Tool'!D5:D67,B41,'Master Audit Tool'!M5:M67,"&gt;0"),0)</f>
        <v>0</v>
      </c>
    </row>
    <row r="42" customFormat="false" ht="15" hidden="false" customHeight="true" outlineLevel="0" collapsed="false">
      <c r="B42" s="24" t="s">
        <v>72</v>
      </c>
      <c r="C42" s="30" t="n">
        <f aca="false">IFERROR(AVERAGEIFS('Master Audit Tool'!M5:M67,'Master Audit Tool'!D5:D67,B42,'Master Audit Tool'!M5:M67,"&gt;0"),0)</f>
        <v>0</v>
      </c>
    </row>
    <row r="43" customFormat="false" ht="41.25" hidden="false" customHeight="true" outlineLevel="0" collapsed="false">
      <c r="B43" s="24" t="s">
        <v>73</v>
      </c>
      <c r="C43" s="30" t="n">
        <f aca="false">IFERROR(AVERAGEIFS('Master Audit Tool'!M5:M67,'Master Audit Tool'!D5:D67,B43,'Master Audit Tool'!M5:M67,"&gt;0"),0)</f>
        <v>0</v>
      </c>
    </row>
    <row r="44" customFormat="false" ht="27.75" hidden="false" customHeight="true" outlineLevel="0" collapsed="false">
      <c r="B44" s="24" t="s">
        <v>74</v>
      </c>
      <c r="C44" s="30" t="n">
        <f aca="false">IFERROR(AVERAGEIFS('Master Audit Tool'!M5:M67,'Master Audit Tool'!D5:D67,B44,'Master Audit Tool'!M5:M67,"&gt;0"),0)</f>
        <v>0</v>
      </c>
    </row>
    <row r="45" customFormat="false" ht="15" hidden="false" customHeight="true" outlineLevel="0" collapsed="false">
      <c r="B45" s="24" t="s">
        <v>75</v>
      </c>
      <c r="C45" s="30" t="n">
        <f aca="false">IFERROR(AVERAGEIFS('Master Audit Tool'!M5:M67,'Master Audit Tool'!D5:D67,B45,'Master Audit Tool'!M5:M67,"&gt;0"),0)</f>
        <v>0</v>
      </c>
    </row>
    <row r="46" customFormat="false" ht="27.75" hidden="false" customHeight="true" outlineLevel="0" collapsed="false">
      <c r="B46" s="24" t="s">
        <v>76</v>
      </c>
      <c r="C46" s="30" t="n">
        <f aca="false">IFERROR(AVERAGEIFS('Master Audit Tool'!M5:M67,'Master Audit Tool'!D5:D67,B46,'Master Audit Tool'!M5:M67,"&gt;0"),0)</f>
        <v>0</v>
      </c>
    </row>
    <row r="48" customFormat="false" ht="17.25" hidden="false" customHeight="true" outlineLevel="0" collapsed="false">
      <c r="B48" s="6" t="s">
        <v>91</v>
      </c>
    </row>
    <row r="49" customFormat="false" ht="27.75" hidden="false" customHeight="true" outlineLevel="0" collapsed="false">
      <c r="B49" s="23" t="s">
        <v>59</v>
      </c>
      <c r="C49" s="23" t="s">
        <v>92</v>
      </c>
    </row>
    <row r="50" customFormat="false" ht="41.25" hidden="false" customHeight="true" outlineLevel="0" collapsed="false">
      <c r="B50" s="24" t="s">
        <v>62</v>
      </c>
      <c r="C50" s="30" t="n">
        <f aca="false">IFERROR(AVERAGEIFS('Master Audit Tool'!M5:M151,'Master Audit Tool'!D5:D151,B50,'Master Audit Tool'!M5:M151,"&gt;0"),0)</f>
        <v>0</v>
      </c>
    </row>
    <row r="51" customFormat="false" ht="15" hidden="false" customHeight="true" outlineLevel="0" collapsed="false">
      <c r="B51" s="24" t="s">
        <v>64</v>
      </c>
      <c r="C51" s="30" t="n">
        <f aca="false">IFERROR(AVERAGEIFS('Master Audit Tool'!M5:M151,'Master Audit Tool'!D5:D151,B51,'Master Audit Tool'!M5:M151,"&gt;0"),0)</f>
        <v>0</v>
      </c>
    </row>
    <row r="52" customFormat="false" ht="27.75" hidden="false" customHeight="true" outlineLevel="0" collapsed="false">
      <c r="B52" s="24" t="s">
        <v>66</v>
      </c>
      <c r="C52" s="30" t="n">
        <f aca="false">IFERROR(AVERAGEIFS('Master Audit Tool'!M5:M151,'Master Audit Tool'!D5:D151,B52,'Master Audit Tool'!M5:M151,"&gt;0"),0)</f>
        <v>0</v>
      </c>
    </row>
    <row r="53" customFormat="false" ht="27.75" hidden="false" customHeight="true" outlineLevel="0" collapsed="false">
      <c r="B53" s="24" t="s">
        <v>67</v>
      </c>
      <c r="C53" s="30" t="n">
        <f aca="false">IFERROR(AVERAGEIFS('Master Audit Tool'!M5:M151,'Master Audit Tool'!D5:D151,B53,'Master Audit Tool'!M5:M151,"&gt;0"),0)</f>
        <v>0</v>
      </c>
    </row>
    <row r="54" customFormat="false" ht="27.75" hidden="false" customHeight="true" outlineLevel="0" collapsed="false">
      <c r="B54" s="24" t="s">
        <v>69</v>
      </c>
      <c r="C54" s="30" t="n">
        <f aca="false">IFERROR(AVERAGEIFS('Master Audit Tool'!M5:M151,'Master Audit Tool'!D5:D151,B54,'Master Audit Tool'!M5:M151,"&gt;0"),0)</f>
        <v>0</v>
      </c>
    </row>
    <row r="55" customFormat="false" ht="27.75" hidden="false" customHeight="true" outlineLevel="0" collapsed="false">
      <c r="B55" s="24" t="s">
        <v>70</v>
      </c>
      <c r="C55" s="30" t="n">
        <f aca="false">IFERROR(AVERAGEIFS('Master Audit Tool'!M5:M151,'Master Audit Tool'!D5:D151,B55,'Master Audit Tool'!M5:M151,"&gt;0"),0)</f>
        <v>0</v>
      </c>
    </row>
    <row r="56" customFormat="false" ht="27.75" hidden="false" customHeight="true" outlineLevel="0" collapsed="false">
      <c r="B56" s="24" t="s">
        <v>71</v>
      </c>
      <c r="C56" s="30" t="n">
        <f aca="false">IFERROR(AVERAGEIFS('Master Audit Tool'!M5:M151,'Master Audit Tool'!D5:D151,B56,'Master Audit Tool'!M5:M151,"&gt;0"),0)</f>
        <v>0</v>
      </c>
    </row>
    <row r="57" customFormat="false" ht="15" hidden="false" customHeight="true" outlineLevel="0" collapsed="false">
      <c r="B57" s="24" t="s">
        <v>72</v>
      </c>
      <c r="C57" s="30" t="n">
        <f aca="false">IFERROR(AVERAGEIFS('Master Audit Tool'!M5:M151,'Master Audit Tool'!D5:D151,B57,'Master Audit Tool'!M5:M151,"&gt;0"),0)</f>
        <v>0</v>
      </c>
    </row>
    <row r="58" customFormat="false" ht="41.25" hidden="false" customHeight="true" outlineLevel="0" collapsed="false">
      <c r="B58" s="24" t="s">
        <v>73</v>
      </c>
      <c r="C58" s="30" t="n">
        <f aca="false">IFERROR(AVERAGEIFS('Master Audit Tool'!M5:M151,'Master Audit Tool'!D5:D151,B58,'Master Audit Tool'!M5:M151,"&gt;0"),0)</f>
        <v>0</v>
      </c>
    </row>
    <row r="59" customFormat="false" ht="27.75" hidden="false" customHeight="true" outlineLevel="0" collapsed="false">
      <c r="B59" s="24" t="s">
        <v>74</v>
      </c>
      <c r="C59" s="30" t="n">
        <f aca="false">IFERROR(AVERAGEIFS('Master Audit Tool'!M5:M151,'Master Audit Tool'!D5:D151,B59,'Master Audit Tool'!M5:M151,"&gt;0"),0)</f>
        <v>0</v>
      </c>
    </row>
    <row r="60" customFormat="false" ht="15" hidden="false" customHeight="true" outlineLevel="0" collapsed="false">
      <c r="B60" s="24" t="s">
        <v>75</v>
      </c>
      <c r="C60" s="30" t="n">
        <f aca="false">IFERROR(AVERAGEIFS('Master Audit Tool'!M5:M151,'Master Audit Tool'!D5:D151,B60,'Master Audit Tool'!M5:M151,"&gt;0"),0)</f>
        <v>0</v>
      </c>
    </row>
    <row r="61" customFormat="false" ht="27.75" hidden="false" customHeight="true" outlineLevel="0" collapsed="false">
      <c r="B61" s="24" t="s">
        <v>76</v>
      </c>
      <c r="C61" s="30" t="n">
        <f aca="false">IFERROR(AVERAGEIFS('Master Audit Tool'!M5:M151,'Master Audit Tool'!D5:D151,B61,'Master Audit Tool'!M5:M151,"&gt;0"),0)</f>
        <v>0</v>
      </c>
    </row>
  </sheetData>
  <mergeCells count="1">
    <mergeCell ref="B2:N2"/>
  </mergeCells>
  <conditionalFormatting sqref="C35:C46">
    <cfRule type="dataBar" priority="2">
      <dataBar showValue="1" minLength="10" maxLength="90">
        <cfvo type="min" val="0"/>
        <cfvo type="max" val="0"/>
        <color rgb="FFF8696B"/>
      </dataBar>
      <extLst>
        <ext xmlns:x14="http://schemas.microsoft.com/office/spreadsheetml/2009/9/main" uri="{B025F937-C7B1-47D3-B67F-A62EFF666E3E}">
          <x14:id>{74B354E4-5D5D-438F-B476-A2C071FB34D2}</x14:id>
        </ext>
      </extLst>
    </cfRule>
  </conditionalFormatting>
  <conditionalFormatting sqref="C50:C61">
    <cfRule type="dataBar" priority="3">
      <dataBar showValue="1" minLength="10" maxLength="90">
        <cfvo type="min" val="0"/>
        <cfvo type="max" val="0"/>
        <color rgb="FFF8696B"/>
      </dataBar>
      <extLst>
        <ext xmlns:x14="http://schemas.microsoft.com/office/spreadsheetml/2009/9/main" uri="{B025F937-C7B1-47D3-B67F-A62EFF666E3E}">
          <x14:id>{53C1E9E6-1A21-4340-A387-80122FE9D1FE}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74B354E4-5D5D-438F-B476-A2C071FB34D2}">
            <x14:dataBar minLength="10" maxLength="90" axisPosition="none" gradient="true">
              <x14:cfvo type="min"/>
              <x14:cfvo type="max"/>
              <x14:negativeFillColor rgb="FFF8696B"/>
              <x14:axisColor rgb="FF000000"/>
            </x14:dataBar>
          </x14:cfRule>
          <xm:sqref>C35:C46</xm:sqref>
        </x14:conditionalFormatting>
        <x14:conditionalFormatting xmlns:xm="http://schemas.microsoft.com/office/excel/2006/main">
          <x14:cfRule type="dataBar" id="{53C1E9E6-1A21-4340-A387-80122FE9D1FE}">
            <x14:dataBar minLength="10" maxLength="90" axisPosition="none" gradient="true">
              <x14:cfvo type="min"/>
              <x14:cfvo type="max"/>
              <x14:negativeFillColor rgb="FFF8696B"/>
              <x14:axisColor rgb="FF000000"/>
            </x14:dataBar>
          </x14:cfRule>
          <xm:sqref>C50:C61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1F3B"/>
    <pageSetUpPr fitToPage="false"/>
  </sheetPr>
  <dimension ref="B2: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35"/>
    <col collapsed="false" customWidth="true" hidden="false" outlineLevel="0" max="3" min="3" style="1" width="25"/>
  </cols>
  <sheetData>
    <row r="2" customFormat="false" ht="24" hidden="false" customHeight="true" outlineLevel="0" collapsed="false">
      <c r="B2" s="10" t="s">
        <v>93</v>
      </c>
      <c r="C2" s="10"/>
      <c r="D2" s="10"/>
    </row>
    <row r="4" customFormat="false" ht="15" hidden="false" customHeight="true" outlineLevel="0" collapsed="false">
      <c r="B4" s="23" t="s">
        <v>94</v>
      </c>
      <c r="C4" s="23" t="s">
        <v>95</v>
      </c>
    </row>
    <row r="5" customFormat="false" ht="15" hidden="false" customHeight="true" outlineLevel="0" collapsed="false">
      <c r="B5" s="31" t="s">
        <v>96</v>
      </c>
      <c r="C5" s="32"/>
    </row>
    <row r="6" customFormat="false" ht="15" hidden="false" customHeight="true" outlineLevel="0" collapsed="false">
      <c r="B6" s="31" t="s">
        <v>97</v>
      </c>
      <c r="C6" s="32"/>
    </row>
    <row r="7" customFormat="false" ht="15" hidden="false" customHeight="true" outlineLevel="0" collapsed="false">
      <c r="B7" s="31" t="s">
        <v>98</v>
      </c>
      <c r="C7" s="32"/>
    </row>
    <row r="8" customFormat="false" ht="15" hidden="false" customHeight="true" outlineLevel="0" collapsed="false">
      <c r="B8" s="31" t="s">
        <v>99</v>
      </c>
      <c r="C8" s="32"/>
    </row>
    <row r="9" customFormat="false" ht="15" hidden="false" customHeight="true" outlineLevel="0" collapsed="false">
      <c r="B9" s="31" t="s">
        <v>100</v>
      </c>
      <c r="C9" s="32"/>
    </row>
    <row r="10" customFormat="false" ht="15" hidden="false" customHeight="true" outlineLevel="0" collapsed="false">
      <c r="B10" s="31" t="s">
        <v>101</v>
      </c>
      <c r="C10" s="32"/>
    </row>
    <row r="11" customFormat="false" ht="15" hidden="false" customHeight="true" outlineLevel="0" collapsed="false">
      <c r="B11" s="31" t="s">
        <v>102</v>
      </c>
      <c r="C11" s="32" t="s">
        <v>103</v>
      </c>
    </row>
    <row r="12" customFormat="false" ht="15" hidden="false" customHeight="true" outlineLevel="0" collapsed="false">
      <c r="B12" s="31" t="s">
        <v>104</v>
      </c>
      <c r="C12" s="32"/>
    </row>
    <row r="13" customFormat="false" ht="15" hidden="false" customHeight="true" outlineLevel="0" collapsed="false">
      <c r="B13" s="31" t="s">
        <v>105</v>
      </c>
      <c r="C13" s="32"/>
    </row>
    <row r="14" customFormat="false" ht="15" hidden="false" customHeight="true" outlineLevel="0" collapsed="false">
      <c r="B14" s="31" t="s">
        <v>106</v>
      </c>
      <c r="C14" s="32"/>
    </row>
    <row r="15" customFormat="false" ht="15" hidden="false" customHeight="true" outlineLevel="0" collapsed="false">
      <c r="B15" s="31" t="s">
        <v>107</v>
      </c>
      <c r="C15" s="32"/>
    </row>
    <row r="16" customFormat="false" ht="15" hidden="false" customHeight="true" outlineLevel="0" collapsed="false">
      <c r="B16" s="31" t="s">
        <v>108</v>
      </c>
      <c r="C16" s="32"/>
    </row>
    <row r="18" customFormat="false" ht="17.25" hidden="false" customHeight="true" outlineLevel="0" collapsed="false">
      <c r="B18" s="6" t="s">
        <v>109</v>
      </c>
    </row>
    <row r="20" customFormat="false" ht="15" hidden="false" customHeight="true" outlineLevel="0" collapsed="false">
      <c r="B20" s="23" t="s">
        <v>59</v>
      </c>
      <c r="C20" s="23" t="s">
        <v>110</v>
      </c>
    </row>
    <row r="21" customFormat="false" ht="15" hidden="false" customHeight="true" outlineLevel="0" collapsed="false">
      <c r="B21" s="24" t="s">
        <v>62</v>
      </c>
      <c r="C21" s="30" t="n">
        <v>8.3</v>
      </c>
    </row>
    <row r="22" customFormat="false" ht="15" hidden="false" customHeight="true" outlineLevel="0" collapsed="false">
      <c r="B22" s="24" t="s">
        <v>64</v>
      </c>
      <c r="C22" s="30" t="n">
        <v>8.3</v>
      </c>
    </row>
    <row r="23" customFormat="false" ht="15" hidden="false" customHeight="true" outlineLevel="0" collapsed="false">
      <c r="B23" s="24" t="s">
        <v>66</v>
      </c>
      <c r="C23" s="30" t="n">
        <v>8.3</v>
      </c>
    </row>
    <row r="24" customFormat="false" ht="15" hidden="false" customHeight="true" outlineLevel="0" collapsed="false">
      <c r="B24" s="24" t="s">
        <v>67</v>
      </c>
      <c r="C24" s="30" t="n">
        <v>8.3</v>
      </c>
    </row>
    <row r="25" customFormat="false" ht="15" hidden="false" customHeight="true" outlineLevel="0" collapsed="false">
      <c r="B25" s="24" t="s">
        <v>69</v>
      </c>
      <c r="C25" s="30" t="n">
        <v>8.3</v>
      </c>
    </row>
    <row r="26" customFormat="false" ht="15" hidden="false" customHeight="true" outlineLevel="0" collapsed="false">
      <c r="B26" s="24" t="s">
        <v>70</v>
      </c>
      <c r="C26" s="30" t="n">
        <v>8.3</v>
      </c>
    </row>
    <row r="27" customFormat="false" ht="15" hidden="false" customHeight="true" outlineLevel="0" collapsed="false">
      <c r="B27" s="24" t="s">
        <v>71</v>
      </c>
      <c r="C27" s="30" t="n">
        <v>8.3</v>
      </c>
    </row>
    <row r="28" customFormat="false" ht="15" hidden="false" customHeight="true" outlineLevel="0" collapsed="false">
      <c r="B28" s="24" t="s">
        <v>72</v>
      </c>
      <c r="C28" s="30" t="n">
        <v>8.3</v>
      </c>
    </row>
    <row r="29" customFormat="false" ht="15" hidden="false" customHeight="true" outlineLevel="0" collapsed="false">
      <c r="B29" s="24" t="s">
        <v>73</v>
      </c>
      <c r="C29" s="30" t="n">
        <v>8.3</v>
      </c>
    </row>
    <row r="30" customFormat="false" ht="15" hidden="false" customHeight="true" outlineLevel="0" collapsed="false">
      <c r="B30" s="24" t="s">
        <v>74</v>
      </c>
      <c r="C30" s="30" t="n">
        <v>8.3</v>
      </c>
    </row>
    <row r="31" customFormat="false" ht="15" hidden="false" customHeight="true" outlineLevel="0" collapsed="false">
      <c r="B31" s="24" t="s">
        <v>75</v>
      </c>
      <c r="C31" s="30" t="n">
        <v>8.3</v>
      </c>
    </row>
    <row r="32" customFormat="false" ht="15" hidden="false" customHeight="true" outlineLevel="0" collapsed="false">
      <c r="B32" s="24" t="s">
        <v>76</v>
      </c>
      <c r="C32" s="30" t="n">
        <v>8.3</v>
      </c>
    </row>
    <row r="33" customFormat="false" ht="15" hidden="false" customHeight="true" outlineLevel="0" collapsed="false">
      <c r="B33" s="33" t="s">
        <v>111</v>
      </c>
      <c r="C33" s="34" t="n">
        <f aca="false">SUM(C21:C32)</f>
        <v>99.6</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3"/>
    <pageSetUpPr fitToPage="false"/>
  </sheetPr>
  <dimension ref="B2:Q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3" min="2" style="1" width="10"/>
    <col collapsed="false" customWidth="true" hidden="false" outlineLevel="0" max="4" min="4" style="1" width="22"/>
    <col collapsed="false" customWidth="true" hidden="false" outlineLevel="0" max="5" min="5" style="1" width="18"/>
    <col collapsed="false" customWidth="true" hidden="false" outlineLevel="0" max="6" min="6" style="1" width="40"/>
    <col collapsed="false" customWidth="true" hidden="false" outlineLevel="0" max="7" min="7" style="1" width="18"/>
    <col collapsed="false" customWidth="true" hidden="false" outlineLevel="0" max="8" min="8" style="1" width="25"/>
    <col collapsed="false" customWidth="true" hidden="false" outlineLevel="0" max="9" min="9" style="1" width="14"/>
    <col collapsed="false" customWidth="true" hidden="false" outlineLevel="0" max="10" min="10" style="1" width="8"/>
    <col collapsed="false" customWidth="true" hidden="false" outlineLevel="0" max="11" min="11" style="1" width="12"/>
    <col collapsed="false" customWidth="true" hidden="false" outlineLevel="0" max="12" min="12" style="1" width="14"/>
    <col collapsed="false" customWidth="true" hidden="false" outlineLevel="0" max="13" min="13" style="1" width="10"/>
    <col collapsed="false" customWidth="true" hidden="false" outlineLevel="0" max="14" min="14" style="1" width="14"/>
    <col collapsed="false" customWidth="true" hidden="false" outlineLevel="0" max="15" min="15" style="1" width="12"/>
    <col collapsed="false" customWidth="true" hidden="false" outlineLevel="0" max="16" min="16" style="1" width="25"/>
  </cols>
  <sheetData>
    <row r="2" customFormat="false" ht="24" hidden="false" customHeight="true" outlineLevel="0" collapsed="false">
      <c r="B2" s="10" t="s">
        <v>112</v>
      </c>
      <c r="C2" s="10"/>
      <c r="D2" s="10"/>
      <c r="E2" s="10"/>
      <c r="F2" s="10"/>
      <c r="G2" s="10"/>
      <c r="H2" s="10"/>
      <c r="I2" s="10"/>
      <c r="J2" s="10"/>
      <c r="K2" s="10"/>
      <c r="L2" s="10"/>
      <c r="M2" s="10"/>
      <c r="N2" s="10"/>
      <c r="O2" s="10"/>
      <c r="P2" s="10"/>
      <c r="Q2" s="10"/>
    </row>
    <row r="4" customFormat="false" ht="27.75" hidden="false" customHeight="true" outlineLevel="0" collapsed="false">
      <c r="B4" s="23" t="s">
        <v>113</v>
      </c>
      <c r="C4" s="23" t="s">
        <v>114</v>
      </c>
      <c r="D4" s="23" t="s">
        <v>59</v>
      </c>
      <c r="E4" s="23" t="s">
        <v>115</v>
      </c>
      <c r="F4" s="23" t="s">
        <v>116</v>
      </c>
      <c r="G4" s="23" t="s">
        <v>117</v>
      </c>
      <c r="H4" s="23" t="s">
        <v>118</v>
      </c>
      <c r="I4" s="23" t="s">
        <v>56</v>
      </c>
      <c r="J4" s="23" t="s">
        <v>119</v>
      </c>
      <c r="K4" s="23" t="s">
        <v>80</v>
      </c>
      <c r="L4" s="23" t="s">
        <v>120</v>
      </c>
      <c r="M4" s="23" t="s">
        <v>121</v>
      </c>
      <c r="N4" s="23" t="s">
        <v>122</v>
      </c>
      <c r="O4" s="23" t="s">
        <v>123</v>
      </c>
      <c r="P4" s="23" t="s">
        <v>124</v>
      </c>
    </row>
    <row r="5" customFormat="false" ht="41.25" hidden="false" customHeight="true" outlineLevel="0" collapsed="false">
      <c r="B5" s="24" t="s">
        <v>125</v>
      </c>
      <c r="C5" s="24" t="s">
        <v>126</v>
      </c>
      <c r="D5" s="24" t="s">
        <v>62</v>
      </c>
      <c r="E5" s="24" t="s">
        <v>127</v>
      </c>
      <c r="F5" s="24" t="s">
        <v>128</v>
      </c>
      <c r="G5" s="24" t="s">
        <v>129</v>
      </c>
      <c r="H5" s="24" t="s">
        <v>130</v>
      </c>
      <c r="I5" s="24"/>
      <c r="J5" s="35" t="str">
        <f aca="false">IF(I5="Compliant",1,IF(I5="Partial",0.5,IF(I5="Non-Compliant",0,"")))</f>
        <v/>
      </c>
      <c r="K5" s="24"/>
      <c r="L5" s="24"/>
      <c r="M5" s="24" t="str">
        <f aca="false">IF(OR(K5="",L5=""),"",IFERROR(VLOOKUP(K5,'Lists &amp; Calculations'!$F$2:$G$5,2,FALSE())*VLOOKUP(L5,'Lists &amp; Calculations'!$I$2:$J$6,2,FALSE()),""))</f>
        <v/>
      </c>
      <c r="N5" s="24"/>
      <c r="O5" s="24"/>
      <c r="P5" s="24"/>
    </row>
    <row r="6" customFormat="false" ht="27.75" hidden="false" customHeight="true" outlineLevel="0" collapsed="false">
      <c r="B6" s="24" t="s">
        <v>131</v>
      </c>
      <c r="C6" s="24" t="s">
        <v>126</v>
      </c>
      <c r="D6" s="24" t="s">
        <v>62</v>
      </c>
      <c r="E6" s="24" t="s">
        <v>132</v>
      </c>
      <c r="F6" s="24" t="s">
        <v>133</v>
      </c>
      <c r="G6" s="24" t="s">
        <v>129</v>
      </c>
      <c r="H6" s="24" t="s">
        <v>134</v>
      </c>
      <c r="I6" s="24"/>
      <c r="J6" s="35" t="str">
        <f aca="false">IF(I6="Compliant",1,IF(I6="Partial",0.5,IF(I6="Non-Compliant",0,"")))</f>
        <v/>
      </c>
      <c r="K6" s="24"/>
      <c r="L6" s="24"/>
      <c r="M6" s="24" t="str">
        <f aca="false">IF(OR(K6="",L6=""),"",IFERROR(VLOOKUP(K6,'Lists &amp; Calculations'!$F$2:$G$5,2,FALSE())*VLOOKUP(L6,'Lists &amp; Calculations'!$I$2:$J$6,2,FALSE()),""))</f>
        <v/>
      </c>
      <c r="N6" s="24"/>
      <c r="O6" s="24"/>
      <c r="P6" s="24"/>
    </row>
    <row r="7" customFormat="false" ht="27.75" hidden="false" customHeight="true" outlineLevel="0" collapsed="false">
      <c r="B7" s="24" t="s">
        <v>135</v>
      </c>
      <c r="C7" s="24" t="s">
        <v>126</v>
      </c>
      <c r="D7" s="24" t="s">
        <v>62</v>
      </c>
      <c r="E7" s="24" t="s">
        <v>136</v>
      </c>
      <c r="F7" s="24" t="s">
        <v>137</v>
      </c>
      <c r="G7" s="24" t="s">
        <v>138</v>
      </c>
      <c r="H7" s="24" t="s">
        <v>139</v>
      </c>
      <c r="I7" s="24"/>
      <c r="J7" s="35" t="str">
        <f aca="false">IF(I7="Compliant",1,IF(I7="Partial",0.5,IF(I7="Non-Compliant",0,"")))</f>
        <v/>
      </c>
      <c r="K7" s="24"/>
      <c r="L7" s="24"/>
      <c r="M7" s="24" t="str">
        <f aca="false">IF(OR(K7="",L7=""),"",IFERROR(VLOOKUP(K7,'Lists &amp; Calculations'!$F$2:$G$5,2,FALSE())*VLOOKUP(L7,'Lists &amp; Calculations'!$I$2:$J$6,2,FALSE()),""))</f>
        <v/>
      </c>
      <c r="N7" s="24"/>
      <c r="O7" s="24"/>
      <c r="P7" s="24"/>
    </row>
    <row r="8" customFormat="false" ht="27.75" hidden="false" customHeight="true" outlineLevel="0" collapsed="false">
      <c r="B8" s="24" t="s">
        <v>140</v>
      </c>
      <c r="C8" s="24" t="s">
        <v>126</v>
      </c>
      <c r="D8" s="24" t="s">
        <v>62</v>
      </c>
      <c r="E8" s="24" t="s">
        <v>141</v>
      </c>
      <c r="F8" s="24" t="s">
        <v>142</v>
      </c>
      <c r="G8" s="24" t="s">
        <v>129</v>
      </c>
      <c r="H8" s="24" t="s">
        <v>143</v>
      </c>
      <c r="I8" s="24"/>
      <c r="J8" s="35" t="str">
        <f aca="false">IF(I8="Compliant",1,IF(I8="Partial",0.5,IF(I8="Non-Compliant",0,"")))</f>
        <v/>
      </c>
      <c r="K8" s="24"/>
      <c r="L8" s="24"/>
      <c r="M8" s="24" t="str">
        <f aca="false">IF(OR(K8="",L8=""),"",IFERROR(VLOOKUP(K8,'Lists &amp; Calculations'!$F$2:$G$5,2,FALSE())*VLOOKUP(L8,'Lists &amp; Calculations'!$I$2:$J$6,2,FALSE()),""))</f>
        <v/>
      </c>
      <c r="N8" s="24"/>
      <c r="O8" s="24"/>
      <c r="P8" s="24"/>
    </row>
    <row r="9" customFormat="false" ht="41.25" hidden="false" customHeight="true" outlineLevel="0" collapsed="false">
      <c r="B9" s="24" t="s">
        <v>144</v>
      </c>
      <c r="C9" s="24" t="s">
        <v>126</v>
      </c>
      <c r="D9" s="24" t="s">
        <v>62</v>
      </c>
      <c r="E9" s="24" t="s">
        <v>145</v>
      </c>
      <c r="F9" s="24" t="s">
        <v>146</v>
      </c>
      <c r="G9" s="24" t="s">
        <v>129</v>
      </c>
      <c r="H9" s="24" t="s">
        <v>147</v>
      </c>
      <c r="I9" s="24"/>
      <c r="J9" s="35" t="str">
        <f aca="false">IF(I9="Compliant",1,IF(I9="Partial",0.5,IF(I9="Non-Compliant",0,"")))</f>
        <v/>
      </c>
      <c r="K9" s="24"/>
      <c r="L9" s="24"/>
      <c r="M9" s="24" t="str">
        <f aca="false">IF(OR(K9="",L9=""),"",IFERROR(VLOOKUP(K9,'Lists &amp; Calculations'!$F$2:$G$5,2,FALSE())*VLOOKUP(L9,'Lists &amp; Calculations'!$I$2:$J$6,2,FALSE()),""))</f>
        <v/>
      </c>
      <c r="N9" s="24"/>
      <c r="O9" s="24"/>
      <c r="P9" s="24"/>
    </row>
    <row r="10" customFormat="false" ht="27.75" hidden="false" customHeight="true" outlineLevel="0" collapsed="false">
      <c r="B10" s="24" t="s">
        <v>148</v>
      </c>
      <c r="C10" s="24" t="s">
        <v>126</v>
      </c>
      <c r="D10" s="24" t="s">
        <v>62</v>
      </c>
      <c r="E10" s="24" t="s">
        <v>149</v>
      </c>
      <c r="F10" s="24" t="s">
        <v>150</v>
      </c>
      <c r="G10" s="24" t="s">
        <v>138</v>
      </c>
      <c r="H10" s="24" t="s">
        <v>151</v>
      </c>
      <c r="I10" s="24"/>
      <c r="J10" s="35" t="str">
        <f aca="false">IF(I10="Compliant",1,IF(I10="Partial",0.5,IF(I10="Non-Compliant",0,"")))</f>
        <v/>
      </c>
      <c r="K10" s="24"/>
      <c r="L10" s="24"/>
      <c r="M10" s="24" t="str">
        <f aca="false">IF(OR(K10="",L10=""),"",IFERROR(VLOOKUP(K10,'Lists &amp; Calculations'!$F$2:$G$5,2,FALSE())*VLOOKUP(L10,'Lists &amp; Calculations'!$I$2:$J$6,2,FALSE()),""))</f>
        <v/>
      </c>
      <c r="N10" s="24"/>
      <c r="O10" s="24"/>
      <c r="P10" s="24"/>
    </row>
    <row r="11" customFormat="false" ht="27.75" hidden="false" customHeight="true" outlineLevel="0" collapsed="false">
      <c r="B11" s="24" t="s">
        <v>152</v>
      </c>
      <c r="C11" s="24" t="s">
        <v>126</v>
      </c>
      <c r="D11" s="24" t="s">
        <v>62</v>
      </c>
      <c r="E11" s="24" t="s">
        <v>153</v>
      </c>
      <c r="F11" s="24" t="s">
        <v>154</v>
      </c>
      <c r="G11" s="24" t="s">
        <v>138</v>
      </c>
      <c r="H11" s="24" t="s">
        <v>155</v>
      </c>
      <c r="I11" s="24"/>
      <c r="J11" s="35" t="str">
        <f aca="false">IF(I11="Compliant",1,IF(I11="Partial",0.5,IF(I11="Non-Compliant",0,"")))</f>
        <v/>
      </c>
      <c r="K11" s="24"/>
      <c r="L11" s="24"/>
      <c r="M11" s="24" t="str">
        <f aca="false">IF(OR(K11="",L11=""),"",IFERROR(VLOOKUP(K11,'Lists &amp; Calculations'!$F$2:$G$5,2,FALSE())*VLOOKUP(L11,'Lists &amp; Calculations'!$I$2:$J$6,2,FALSE()),""))</f>
        <v/>
      </c>
      <c r="N11" s="24"/>
      <c r="O11" s="24"/>
      <c r="P11" s="24"/>
    </row>
    <row r="12" customFormat="false" ht="27.75" hidden="false" customHeight="true" outlineLevel="0" collapsed="false">
      <c r="B12" s="24" t="s">
        <v>156</v>
      </c>
      <c r="C12" s="24" t="s">
        <v>126</v>
      </c>
      <c r="D12" s="24" t="s">
        <v>62</v>
      </c>
      <c r="E12" s="24" t="s">
        <v>157</v>
      </c>
      <c r="F12" s="24" t="s">
        <v>158</v>
      </c>
      <c r="G12" s="24" t="s">
        <v>129</v>
      </c>
      <c r="H12" s="24" t="s">
        <v>159</v>
      </c>
      <c r="I12" s="24"/>
      <c r="J12" s="35" t="str">
        <f aca="false">IF(I12="Compliant",1,IF(I12="Partial",0.5,IF(I12="Non-Compliant",0,"")))</f>
        <v/>
      </c>
      <c r="K12" s="24"/>
      <c r="L12" s="24"/>
      <c r="M12" s="24" t="str">
        <f aca="false">IF(OR(K12="",L12=""),"",IFERROR(VLOOKUP(K12,'Lists &amp; Calculations'!$F$2:$G$5,2,FALSE())*VLOOKUP(L12,'Lists &amp; Calculations'!$I$2:$J$6,2,FALSE()),""))</f>
        <v/>
      </c>
      <c r="N12" s="24"/>
      <c r="O12" s="24"/>
      <c r="P12" s="24"/>
    </row>
    <row r="13" customFormat="false" ht="27.75" hidden="false" customHeight="true" outlineLevel="0" collapsed="false">
      <c r="B13" s="24" t="s">
        <v>160</v>
      </c>
      <c r="C13" s="24" t="s">
        <v>126</v>
      </c>
      <c r="D13" s="24" t="s">
        <v>62</v>
      </c>
      <c r="E13" s="24" t="s">
        <v>161</v>
      </c>
      <c r="F13" s="24" t="s">
        <v>162</v>
      </c>
      <c r="G13" s="24" t="s">
        <v>163</v>
      </c>
      <c r="H13" s="24" t="s">
        <v>164</v>
      </c>
      <c r="I13" s="24"/>
      <c r="J13" s="35" t="str">
        <f aca="false">IF(I13="Compliant",1,IF(I13="Partial",0.5,IF(I13="Non-Compliant",0,"")))</f>
        <v/>
      </c>
      <c r="K13" s="24"/>
      <c r="L13" s="24"/>
      <c r="M13" s="24" t="str">
        <f aca="false">IF(OR(K13="",L13=""),"",IFERROR(VLOOKUP(K13,'Lists &amp; Calculations'!$F$2:$G$5,2,FALSE())*VLOOKUP(L13,'Lists &amp; Calculations'!$I$2:$J$6,2,FALSE()),""))</f>
        <v/>
      </c>
      <c r="N13" s="24"/>
      <c r="O13" s="24"/>
      <c r="P13" s="24"/>
    </row>
    <row r="14" customFormat="false" ht="41.25" hidden="false" customHeight="true" outlineLevel="0" collapsed="false">
      <c r="B14" s="24" t="s">
        <v>165</v>
      </c>
      <c r="C14" s="24" t="s">
        <v>126</v>
      </c>
      <c r="D14" s="24" t="s">
        <v>62</v>
      </c>
      <c r="E14" s="24" t="s">
        <v>166</v>
      </c>
      <c r="F14" s="24" t="s">
        <v>167</v>
      </c>
      <c r="G14" s="24" t="s">
        <v>138</v>
      </c>
      <c r="H14" s="24" t="s">
        <v>168</v>
      </c>
      <c r="I14" s="24"/>
      <c r="J14" s="35" t="str">
        <f aca="false">IF(I14="Compliant",1,IF(I14="Partial",0.5,IF(I14="Non-Compliant",0,"")))</f>
        <v/>
      </c>
      <c r="K14" s="24"/>
      <c r="L14" s="24"/>
      <c r="M14" s="24" t="str">
        <f aca="false">IF(OR(K14="",L14=""),"",IFERROR(VLOOKUP(K14,'Lists &amp; Calculations'!$F$2:$G$5,2,FALSE())*VLOOKUP(L14,'Lists &amp; Calculations'!$I$2:$J$6,2,FALSE()),""))</f>
        <v/>
      </c>
      <c r="N14" s="24"/>
      <c r="O14" s="24"/>
      <c r="P14" s="24"/>
    </row>
    <row r="15" customFormat="false" ht="41.25" hidden="false" customHeight="true" outlineLevel="0" collapsed="false">
      <c r="B15" s="24" t="s">
        <v>169</v>
      </c>
      <c r="C15" s="24" t="s">
        <v>126</v>
      </c>
      <c r="D15" s="24" t="s">
        <v>64</v>
      </c>
      <c r="E15" s="24" t="s">
        <v>170</v>
      </c>
      <c r="F15" s="24" t="s">
        <v>171</v>
      </c>
      <c r="G15" s="24" t="s">
        <v>172</v>
      </c>
      <c r="H15" s="24" t="s">
        <v>173</v>
      </c>
      <c r="I15" s="24"/>
      <c r="J15" s="35" t="str">
        <f aca="false">IF(I15="Compliant",1,IF(I15="Partial",0.5,IF(I15="Non-Compliant",0,"")))</f>
        <v/>
      </c>
      <c r="K15" s="24"/>
      <c r="L15" s="24"/>
      <c r="M15" s="24" t="str">
        <f aca="false">IF(OR(K15="",L15=""),"",IFERROR(VLOOKUP(K15,'Lists &amp; Calculations'!$F$2:$G$5,2,FALSE())*VLOOKUP(L15,'Lists &amp; Calculations'!$I$2:$J$6,2,FALSE()),""))</f>
        <v/>
      </c>
      <c r="N15" s="24"/>
      <c r="O15" s="24"/>
      <c r="P15" s="24"/>
    </row>
    <row r="16" customFormat="false" ht="41.25" hidden="false" customHeight="true" outlineLevel="0" collapsed="false">
      <c r="B16" s="24" t="s">
        <v>174</v>
      </c>
      <c r="C16" s="24" t="s">
        <v>126</v>
      </c>
      <c r="D16" s="24" t="s">
        <v>64</v>
      </c>
      <c r="E16" s="24" t="s">
        <v>175</v>
      </c>
      <c r="F16" s="24" t="s">
        <v>176</v>
      </c>
      <c r="G16" s="24" t="s">
        <v>138</v>
      </c>
      <c r="H16" s="24" t="s">
        <v>177</v>
      </c>
      <c r="I16" s="24"/>
      <c r="J16" s="35" t="str">
        <f aca="false">IF(I16="Compliant",1,IF(I16="Partial",0.5,IF(I16="Non-Compliant",0,"")))</f>
        <v/>
      </c>
      <c r="K16" s="24"/>
      <c r="L16" s="24"/>
      <c r="M16" s="24" t="str">
        <f aca="false">IF(OR(K16="",L16=""),"",IFERROR(VLOOKUP(K16,'Lists &amp; Calculations'!$F$2:$G$5,2,FALSE())*VLOOKUP(L16,'Lists &amp; Calculations'!$I$2:$J$6,2,FALSE()),""))</f>
        <v/>
      </c>
      <c r="N16" s="24"/>
      <c r="O16" s="24"/>
      <c r="P16" s="24"/>
    </row>
    <row r="17" customFormat="false" ht="27.75" hidden="false" customHeight="true" outlineLevel="0" collapsed="false">
      <c r="B17" s="24" t="s">
        <v>178</v>
      </c>
      <c r="C17" s="24" t="s">
        <v>126</v>
      </c>
      <c r="D17" s="24" t="s">
        <v>64</v>
      </c>
      <c r="E17" s="24" t="s">
        <v>179</v>
      </c>
      <c r="F17" s="24" t="s">
        <v>180</v>
      </c>
      <c r="G17" s="24" t="s">
        <v>138</v>
      </c>
      <c r="H17" s="24" t="s">
        <v>181</v>
      </c>
      <c r="I17" s="24"/>
      <c r="J17" s="35" t="str">
        <f aca="false">IF(I17="Compliant",1,IF(I17="Partial",0.5,IF(I17="Non-Compliant",0,"")))</f>
        <v/>
      </c>
      <c r="K17" s="24"/>
      <c r="L17" s="24"/>
      <c r="M17" s="24" t="str">
        <f aca="false">IF(OR(K17="",L17=""),"",IFERROR(VLOOKUP(K17,'Lists &amp; Calculations'!$F$2:$G$5,2,FALSE())*VLOOKUP(L17,'Lists &amp; Calculations'!$I$2:$J$6,2,FALSE()),""))</f>
        <v/>
      </c>
      <c r="N17" s="24"/>
      <c r="O17" s="24"/>
      <c r="P17" s="24"/>
    </row>
    <row r="18" customFormat="false" ht="41.25" hidden="false" customHeight="true" outlineLevel="0" collapsed="false">
      <c r="B18" s="24" t="s">
        <v>182</v>
      </c>
      <c r="C18" s="24" t="s">
        <v>126</v>
      </c>
      <c r="D18" s="24" t="s">
        <v>64</v>
      </c>
      <c r="E18" s="24" t="s">
        <v>183</v>
      </c>
      <c r="F18" s="24" t="s">
        <v>184</v>
      </c>
      <c r="G18" s="24" t="s">
        <v>129</v>
      </c>
      <c r="H18" s="24" t="s">
        <v>185</v>
      </c>
      <c r="I18" s="24"/>
      <c r="J18" s="35" t="str">
        <f aca="false">IF(I18="Compliant",1,IF(I18="Partial",0.5,IF(I18="Non-Compliant",0,"")))</f>
        <v/>
      </c>
      <c r="K18" s="24"/>
      <c r="L18" s="24"/>
      <c r="M18" s="24" t="str">
        <f aca="false">IF(OR(K18="",L18=""),"",IFERROR(VLOOKUP(K18,'Lists &amp; Calculations'!$F$2:$G$5,2,FALSE())*VLOOKUP(L18,'Lists &amp; Calculations'!$I$2:$J$6,2,FALSE()),""))</f>
        <v/>
      </c>
      <c r="N18" s="24"/>
      <c r="O18" s="24"/>
      <c r="P18" s="24"/>
    </row>
    <row r="19" customFormat="false" ht="27.75" hidden="false" customHeight="true" outlineLevel="0" collapsed="false">
      <c r="B19" s="24" t="s">
        <v>186</v>
      </c>
      <c r="C19" s="24" t="s">
        <v>126</v>
      </c>
      <c r="D19" s="24" t="s">
        <v>64</v>
      </c>
      <c r="E19" s="24" t="s">
        <v>187</v>
      </c>
      <c r="F19" s="24" t="s">
        <v>188</v>
      </c>
      <c r="G19" s="24" t="s">
        <v>138</v>
      </c>
      <c r="H19" s="24" t="s">
        <v>189</v>
      </c>
      <c r="I19" s="24"/>
      <c r="J19" s="35" t="str">
        <f aca="false">IF(I19="Compliant",1,IF(I19="Partial",0.5,IF(I19="Non-Compliant",0,"")))</f>
        <v/>
      </c>
      <c r="K19" s="24"/>
      <c r="L19" s="24"/>
      <c r="M19" s="24" t="str">
        <f aca="false">IF(OR(K19="",L19=""),"",IFERROR(VLOOKUP(K19,'Lists &amp; Calculations'!$F$2:$G$5,2,FALSE())*VLOOKUP(L19,'Lists &amp; Calculations'!$I$2:$J$6,2,FALSE()),""))</f>
        <v/>
      </c>
      <c r="N19" s="24"/>
      <c r="O19" s="24"/>
      <c r="P19" s="24"/>
    </row>
    <row r="20" customFormat="false" ht="27.75" hidden="false" customHeight="true" outlineLevel="0" collapsed="false">
      <c r="B20" s="24" t="s">
        <v>190</v>
      </c>
      <c r="C20" s="24" t="s">
        <v>126</v>
      </c>
      <c r="D20" s="24" t="s">
        <v>64</v>
      </c>
      <c r="E20" s="24" t="s">
        <v>191</v>
      </c>
      <c r="F20" s="24" t="s">
        <v>192</v>
      </c>
      <c r="G20" s="24" t="s">
        <v>138</v>
      </c>
      <c r="H20" s="24" t="s">
        <v>193</v>
      </c>
      <c r="I20" s="24"/>
      <c r="J20" s="35" t="str">
        <f aca="false">IF(I20="Compliant",1,IF(I20="Partial",0.5,IF(I20="Non-Compliant",0,"")))</f>
        <v/>
      </c>
      <c r="K20" s="24"/>
      <c r="L20" s="24"/>
      <c r="M20" s="24" t="str">
        <f aca="false">IF(OR(K20="",L20=""),"",IFERROR(VLOOKUP(K20,'Lists &amp; Calculations'!$F$2:$G$5,2,FALSE())*VLOOKUP(L20,'Lists &amp; Calculations'!$I$2:$J$6,2,FALSE()),""))</f>
        <v/>
      </c>
      <c r="N20" s="24"/>
      <c r="O20" s="24"/>
      <c r="P20" s="24"/>
    </row>
    <row r="21" customFormat="false" ht="27.75" hidden="false" customHeight="true" outlineLevel="0" collapsed="false">
      <c r="B21" s="24" t="s">
        <v>194</v>
      </c>
      <c r="C21" s="24" t="s">
        <v>126</v>
      </c>
      <c r="D21" s="24" t="s">
        <v>64</v>
      </c>
      <c r="E21" s="24" t="s">
        <v>195</v>
      </c>
      <c r="F21" s="24" t="s">
        <v>196</v>
      </c>
      <c r="G21" s="24" t="s">
        <v>138</v>
      </c>
      <c r="H21" s="24" t="s">
        <v>197</v>
      </c>
      <c r="I21" s="24"/>
      <c r="J21" s="35" t="str">
        <f aca="false">IF(I21="Compliant",1,IF(I21="Partial",0.5,IF(I21="Non-Compliant",0,"")))</f>
        <v/>
      </c>
      <c r="K21" s="24"/>
      <c r="L21" s="24"/>
      <c r="M21" s="24" t="str">
        <f aca="false">IF(OR(K21="",L21=""),"",IFERROR(VLOOKUP(K21,'Lists &amp; Calculations'!$F$2:$G$5,2,FALSE())*VLOOKUP(L21,'Lists &amp; Calculations'!$I$2:$J$6,2,FALSE()),""))</f>
        <v/>
      </c>
      <c r="N21" s="24"/>
      <c r="O21" s="24"/>
      <c r="P21" s="24"/>
    </row>
    <row r="22" customFormat="false" ht="27.75" hidden="false" customHeight="true" outlineLevel="0" collapsed="false">
      <c r="B22" s="24" t="s">
        <v>198</v>
      </c>
      <c r="C22" s="24" t="s">
        <v>126</v>
      </c>
      <c r="D22" s="24" t="s">
        <v>64</v>
      </c>
      <c r="E22" s="24" t="s">
        <v>199</v>
      </c>
      <c r="F22" s="24" t="s">
        <v>200</v>
      </c>
      <c r="G22" s="24" t="s">
        <v>138</v>
      </c>
      <c r="H22" s="24" t="s">
        <v>201</v>
      </c>
      <c r="I22" s="24"/>
      <c r="J22" s="35" t="str">
        <f aca="false">IF(I22="Compliant",1,IF(I22="Partial",0.5,IF(I22="Non-Compliant",0,"")))</f>
        <v/>
      </c>
      <c r="K22" s="24"/>
      <c r="L22" s="24"/>
      <c r="M22" s="24" t="str">
        <f aca="false">IF(OR(K22="",L22=""),"",IFERROR(VLOOKUP(K22,'Lists &amp; Calculations'!$F$2:$G$5,2,FALSE())*VLOOKUP(L22,'Lists &amp; Calculations'!$I$2:$J$6,2,FALSE()),""))</f>
        <v/>
      </c>
      <c r="N22" s="24"/>
      <c r="O22" s="24"/>
      <c r="P22" s="24"/>
    </row>
    <row r="23" customFormat="false" ht="27.75" hidden="false" customHeight="true" outlineLevel="0" collapsed="false">
      <c r="B23" s="24" t="s">
        <v>202</v>
      </c>
      <c r="C23" s="24" t="s">
        <v>126</v>
      </c>
      <c r="D23" s="24" t="s">
        <v>66</v>
      </c>
      <c r="E23" s="24" t="s">
        <v>203</v>
      </c>
      <c r="F23" s="24" t="s">
        <v>204</v>
      </c>
      <c r="G23" s="24" t="s">
        <v>129</v>
      </c>
      <c r="H23" s="24" t="s">
        <v>205</v>
      </c>
      <c r="I23" s="24"/>
      <c r="J23" s="35" t="str">
        <f aca="false">IF(I23="Compliant",1,IF(I23="Partial",0.5,IF(I23="Non-Compliant",0,"")))</f>
        <v/>
      </c>
      <c r="K23" s="24"/>
      <c r="L23" s="24"/>
      <c r="M23" s="24" t="str">
        <f aca="false">IF(OR(K23="",L23=""),"",IFERROR(VLOOKUP(K23,'Lists &amp; Calculations'!$F$2:$G$5,2,FALSE())*VLOOKUP(L23,'Lists &amp; Calculations'!$I$2:$J$6,2,FALSE()),""))</f>
        <v/>
      </c>
      <c r="N23" s="24"/>
      <c r="O23" s="24"/>
      <c r="P23" s="24"/>
    </row>
    <row r="24" customFormat="false" ht="41.25" hidden="false" customHeight="true" outlineLevel="0" collapsed="false">
      <c r="B24" s="24" t="s">
        <v>206</v>
      </c>
      <c r="C24" s="24" t="s">
        <v>126</v>
      </c>
      <c r="D24" s="24" t="s">
        <v>66</v>
      </c>
      <c r="E24" s="24" t="s">
        <v>207</v>
      </c>
      <c r="F24" s="24" t="s">
        <v>208</v>
      </c>
      <c r="G24" s="24" t="s">
        <v>209</v>
      </c>
      <c r="H24" s="24" t="s">
        <v>210</v>
      </c>
      <c r="I24" s="24"/>
      <c r="J24" s="35" t="str">
        <f aca="false">IF(I24="Compliant",1,IF(I24="Partial",0.5,IF(I24="Non-Compliant",0,"")))</f>
        <v/>
      </c>
      <c r="K24" s="24"/>
      <c r="L24" s="24"/>
      <c r="M24" s="24" t="str">
        <f aca="false">IF(OR(K24="",L24=""),"",IFERROR(VLOOKUP(K24,'Lists &amp; Calculations'!$F$2:$G$5,2,FALSE())*VLOOKUP(L24,'Lists &amp; Calculations'!$I$2:$J$6,2,FALSE()),""))</f>
        <v/>
      </c>
      <c r="N24" s="24"/>
      <c r="O24" s="24"/>
      <c r="P24" s="24"/>
    </row>
    <row r="25" customFormat="false" ht="27.75" hidden="false" customHeight="true" outlineLevel="0" collapsed="false">
      <c r="B25" s="24" t="s">
        <v>211</v>
      </c>
      <c r="C25" s="24" t="s">
        <v>126</v>
      </c>
      <c r="D25" s="24" t="s">
        <v>66</v>
      </c>
      <c r="E25" s="24" t="s">
        <v>212</v>
      </c>
      <c r="F25" s="24" t="s">
        <v>213</v>
      </c>
      <c r="G25" s="24" t="s">
        <v>129</v>
      </c>
      <c r="H25" s="24" t="s">
        <v>214</v>
      </c>
      <c r="I25" s="24"/>
      <c r="J25" s="35" t="str">
        <f aca="false">IF(I25="Compliant",1,IF(I25="Partial",0.5,IF(I25="Non-Compliant",0,"")))</f>
        <v/>
      </c>
      <c r="K25" s="24"/>
      <c r="L25" s="24"/>
      <c r="M25" s="24" t="str">
        <f aca="false">IF(OR(K25="",L25=""),"",IFERROR(VLOOKUP(K25,'Lists &amp; Calculations'!$F$2:$G$5,2,FALSE())*VLOOKUP(L25,'Lists &amp; Calculations'!$I$2:$J$6,2,FALSE()),""))</f>
        <v/>
      </c>
      <c r="N25" s="24"/>
      <c r="O25" s="24"/>
      <c r="P25" s="24"/>
    </row>
    <row r="26" customFormat="false" ht="27.75" hidden="false" customHeight="true" outlineLevel="0" collapsed="false">
      <c r="B26" s="24" t="s">
        <v>215</v>
      </c>
      <c r="C26" s="24" t="s">
        <v>126</v>
      </c>
      <c r="D26" s="24" t="s">
        <v>66</v>
      </c>
      <c r="E26" s="24" t="s">
        <v>216</v>
      </c>
      <c r="F26" s="24" t="s">
        <v>217</v>
      </c>
      <c r="G26" s="24" t="s">
        <v>209</v>
      </c>
      <c r="H26" s="24" t="s">
        <v>218</v>
      </c>
      <c r="I26" s="24"/>
      <c r="J26" s="35" t="str">
        <f aca="false">IF(I26="Compliant",1,IF(I26="Partial",0.5,IF(I26="Non-Compliant",0,"")))</f>
        <v/>
      </c>
      <c r="K26" s="24"/>
      <c r="L26" s="24"/>
      <c r="M26" s="24" t="str">
        <f aca="false">IF(OR(K26="",L26=""),"",IFERROR(VLOOKUP(K26,'Lists &amp; Calculations'!$F$2:$G$5,2,FALSE())*VLOOKUP(L26,'Lists &amp; Calculations'!$I$2:$J$6,2,FALSE()),""))</f>
        <v/>
      </c>
      <c r="N26" s="24"/>
      <c r="O26" s="24"/>
      <c r="P26" s="24"/>
    </row>
    <row r="27" customFormat="false" ht="27.75" hidden="false" customHeight="true" outlineLevel="0" collapsed="false">
      <c r="B27" s="24" t="s">
        <v>219</v>
      </c>
      <c r="C27" s="24" t="s">
        <v>126</v>
      </c>
      <c r="D27" s="24" t="s">
        <v>66</v>
      </c>
      <c r="E27" s="24" t="s">
        <v>220</v>
      </c>
      <c r="F27" s="24" t="s">
        <v>221</v>
      </c>
      <c r="G27" s="24" t="s">
        <v>138</v>
      </c>
      <c r="H27" s="24" t="s">
        <v>222</v>
      </c>
      <c r="I27" s="24"/>
      <c r="J27" s="35" t="str">
        <f aca="false">IF(I27="Compliant",1,IF(I27="Partial",0.5,IF(I27="Non-Compliant",0,"")))</f>
        <v/>
      </c>
      <c r="K27" s="24"/>
      <c r="L27" s="24"/>
      <c r="M27" s="24" t="str">
        <f aca="false">IF(OR(K27="",L27=""),"",IFERROR(VLOOKUP(K27,'Lists &amp; Calculations'!$F$2:$G$5,2,FALSE())*VLOOKUP(L27,'Lists &amp; Calculations'!$I$2:$J$6,2,FALSE()),""))</f>
        <v/>
      </c>
      <c r="N27" s="24"/>
      <c r="O27" s="24"/>
      <c r="P27" s="24"/>
    </row>
    <row r="28" customFormat="false" ht="27.75" hidden="false" customHeight="true" outlineLevel="0" collapsed="false">
      <c r="B28" s="24" t="s">
        <v>223</v>
      </c>
      <c r="C28" s="24" t="s">
        <v>126</v>
      </c>
      <c r="D28" s="24" t="s">
        <v>66</v>
      </c>
      <c r="E28" s="24" t="s">
        <v>224</v>
      </c>
      <c r="F28" s="24" t="s">
        <v>225</v>
      </c>
      <c r="G28" s="24" t="s">
        <v>138</v>
      </c>
      <c r="H28" s="24" t="s">
        <v>226</v>
      </c>
      <c r="I28" s="24"/>
      <c r="J28" s="35" t="str">
        <f aca="false">IF(I28="Compliant",1,IF(I28="Partial",0.5,IF(I28="Non-Compliant",0,"")))</f>
        <v/>
      </c>
      <c r="K28" s="24"/>
      <c r="L28" s="24"/>
      <c r="M28" s="24" t="str">
        <f aca="false">IF(OR(K28="",L28=""),"",IFERROR(VLOOKUP(K28,'Lists &amp; Calculations'!$F$2:$G$5,2,FALSE())*VLOOKUP(L28,'Lists &amp; Calculations'!$I$2:$J$6,2,FALSE()),""))</f>
        <v/>
      </c>
      <c r="N28" s="24"/>
      <c r="O28" s="24"/>
      <c r="P28" s="24"/>
    </row>
    <row r="29" customFormat="false" ht="27.75" hidden="false" customHeight="true" outlineLevel="0" collapsed="false">
      <c r="B29" s="24" t="s">
        <v>227</v>
      </c>
      <c r="C29" s="24" t="s">
        <v>126</v>
      </c>
      <c r="D29" s="24" t="s">
        <v>66</v>
      </c>
      <c r="E29" s="24" t="s">
        <v>228</v>
      </c>
      <c r="F29" s="24" t="s">
        <v>229</v>
      </c>
      <c r="G29" s="24" t="s">
        <v>163</v>
      </c>
      <c r="H29" s="24" t="s">
        <v>230</v>
      </c>
      <c r="I29" s="24"/>
      <c r="J29" s="35" t="str">
        <f aca="false">IF(I29="Compliant",1,IF(I29="Partial",0.5,IF(I29="Non-Compliant",0,"")))</f>
        <v/>
      </c>
      <c r="K29" s="24"/>
      <c r="L29" s="24"/>
      <c r="M29" s="24" t="str">
        <f aca="false">IF(OR(K29="",L29=""),"",IFERROR(VLOOKUP(K29,'Lists &amp; Calculations'!$F$2:$G$5,2,FALSE())*VLOOKUP(L29,'Lists &amp; Calculations'!$I$2:$J$6,2,FALSE()),""))</f>
        <v/>
      </c>
      <c r="N29" s="24"/>
      <c r="O29" s="24"/>
      <c r="P29" s="24"/>
    </row>
    <row r="30" customFormat="false" ht="27.75" hidden="false" customHeight="true" outlineLevel="0" collapsed="false">
      <c r="B30" s="24" t="s">
        <v>231</v>
      </c>
      <c r="C30" s="24" t="s">
        <v>126</v>
      </c>
      <c r="D30" s="24" t="s">
        <v>66</v>
      </c>
      <c r="E30" s="24" t="s">
        <v>232</v>
      </c>
      <c r="F30" s="24" t="s">
        <v>233</v>
      </c>
      <c r="G30" s="24" t="s">
        <v>129</v>
      </c>
      <c r="H30" s="24" t="s">
        <v>234</v>
      </c>
      <c r="I30" s="24"/>
      <c r="J30" s="35" t="str">
        <f aca="false">IF(I30="Compliant",1,IF(I30="Partial",0.5,IF(I30="Non-Compliant",0,"")))</f>
        <v/>
      </c>
      <c r="K30" s="24"/>
      <c r="L30" s="24"/>
      <c r="M30" s="24" t="str">
        <f aca="false">IF(OR(K30="",L30=""),"",IFERROR(VLOOKUP(K30,'Lists &amp; Calculations'!$F$2:$G$5,2,FALSE())*VLOOKUP(L30,'Lists &amp; Calculations'!$I$2:$J$6,2,FALSE()),""))</f>
        <v/>
      </c>
      <c r="N30" s="24"/>
      <c r="O30" s="24"/>
      <c r="P30" s="24"/>
    </row>
    <row r="31" customFormat="false" ht="27.75" hidden="false" customHeight="true" outlineLevel="0" collapsed="false">
      <c r="B31" s="24" t="s">
        <v>235</v>
      </c>
      <c r="C31" s="24" t="s">
        <v>126</v>
      </c>
      <c r="D31" s="24" t="s">
        <v>66</v>
      </c>
      <c r="E31" s="24" t="s">
        <v>236</v>
      </c>
      <c r="F31" s="24" t="s">
        <v>237</v>
      </c>
      <c r="G31" s="24" t="s">
        <v>138</v>
      </c>
      <c r="H31" s="24" t="s">
        <v>238</v>
      </c>
      <c r="I31" s="24"/>
      <c r="J31" s="35" t="str">
        <f aca="false">IF(I31="Compliant",1,IF(I31="Partial",0.5,IF(I31="Non-Compliant",0,"")))</f>
        <v/>
      </c>
      <c r="K31" s="24"/>
      <c r="L31" s="24"/>
      <c r="M31" s="24" t="str">
        <f aca="false">IF(OR(K31="",L31=""),"",IFERROR(VLOOKUP(K31,'Lists &amp; Calculations'!$F$2:$G$5,2,FALSE())*VLOOKUP(L31,'Lists &amp; Calculations'!$I$2:$J$6,2,FALSE()),""))</f>
        <v/>
      </c>
      <c r="N31" s="24"/>
      <c r="O31" s="24"/>
      <c r="P31" s="24"/>
    </row>
    <row r="32" customFormat="false" ht="27.75" hidden="false" customHeight="true" outlineLevel="0" collapsed="false">
      <c r="B32" s="24" t="s">
        <v>239</v>
      </c>
      <c r="C32" s="24" t="s">
        <v>126</v>
      </c>
      <c r="D32" s="24" t="s">
        <v>66</v>
      </c>
      <c r="E32" s="24" t="s">
        <v>240</v>
      </c>
      <c r="F32" s="24" t="s">
        <v>241</v>
      </c>
      <c r="G32" s="24" t="s">
        <v>129</v>
      </c>
      <c r="H32" s="24" t="s">
        <v>242</v>
      </c>
      <c r="I32" s="24"/>
      <c r="J32" s="35" t="str">
        <f aca="false">IF(I32="Compliant",1,IF(I32="Partial",0.5,IF(I32="Non-Compliant",0,"")))</f>
        <v/>
      </c>
      <c r="K32" s="24"/>
      <c r="L32" s="24"/>
      <c r="M32" s="24" t="str">
        <f aca="false">IF(OR(K32="",L32=""),"",IFERROR(VLOOKUP(K32,'Lists &amp; Calculations'!$F$2:$G$5,2,FALSE())*VLOOKUP(L32,'Lists &amp; Calculations'!$I$2:$J$6,2,FALSE()),""))</f>
        <v/>
      </c>
      <c r="N32" s="24"/>
      <c r="O32" s="24"/>
      <c r="P32" s="24"/>
    </row>
    <row r="33" customFormat="false" ht="27.75" hidden="false" customHeight="true" outlineLevel="0" collapsed="false">
      <c r="B33" s="24" t="s">
        <v>243</v>
      </c>
      <c r="C33" s="24" t="s">
        <v>126</v>
      </c>
      <c r="D33" s="24" t="s">
        <v>67</v>
      </c>
      <c r="E33" s="24" t="s">
        <v>244</v>
      </c>
      <c r="F33" s="24" t="s">
        <v>245</v>
      </c>
      <c r="G33" s="24" t="s">
        <v>129</v>
      </c>
      <c r="H33" s="24" t="s">
        <v>246</v>
      </c>
      <c r="I33" s="24"/>
      <c r="J33" s="35" t="str">
        <f aca="false">IF(I33="Compliant",1,IF(I33="Partial",0.5,IF(I33="Non-Compliant",0,"")))</f>
        <v/>
      </c>
      <c r="K33" s="24"/>
      <c r="L33" s="24"/>
      <c r="M33" s="24" t="str">
        <f aca="false">IF(OR(K33="",L33=""),"",IFERROR(VLOOKUP(K33,'Lists &amp; Calculations'!$F$2:$G$5,2,FALSE())*VLOOKUP(L33,'Lists &amp; Calculations'!$I$2:$J$6,2,FALSE()),""))</f>
        <v/>
      </c>
      <c r="N33" s="24"/>
      <c r="O33" s="24"/>
      <c r="P33" s="24"/>
    </row>
    <row r="34" customFormat="false" ht="27.75" hidden="false" customHeight="true" outlineLevel="0" collapsed="false">
      <c r="B34" s="24" t="s">
        <v>247</v>
      </c>
      <c r="C34" s="24" t="s">
        <v>126</v>
      </c>
      <c r="D34" s="24" t="s">
        <v>67</v>
      </c>
      <c r="E34" s="24" t="s">
        <v>248</v>
      </c>
      <c r="F34" s="24" t="s">
        <v>249</v>
      </c>
      <c r="G34" s="24" t="s">
        <v>138</v>
      </c>
      <c r="H34" s="24" t="s">
        <v>250</v>
      </c>
      <c r="I34" s="24"/>
      <c r="J34" s="35" t="str">
        <f aca="false">IF(I34="Compliant",1,IF(I34="Partial",0.5,IF(I34="Non-Compliant",0,"")))</f>
        <v/>
      </c>
      <c r="K34" s="24"/>
      <c r="L34" s="24"/>
      <c r="M34" s="24" t="str">
        <f aca="false">IF(OR(K34="",L34=""),"",IFERROR(VLOOKUP(K34,'Lists &amp; Calculations'!$F$2:$G$5,2,FALSE())*VLOOKUP(L34,'Lists &amp; Calculations'!$I$2:$J$6,2,FALSE()),""))</f>
        <v/>
      </c>
      <c r="N34" s="24"/>
      <c r="O34" s="24"/>
      <c r="P34" s="24"/>
    </row>
    <row r="35" customFormat="false" ht="27.75" hidden="false" customHeight="true" outlineLevel="0" collapsed="false">
      <c r="B35" s="24" t="s">
        <v>251</v>
      </c>
      <c r="C35" s="24" t="s">
        <v>126</v>
      </c>
      <c r="D35" s="24" t="s">
        <v>67</v>
      </c>
      <c r="E35" s="24" t="s">
        <v>252</v>
      </c>
      <c r="F35" s="24" t="s">
        <v>253</v>
      </c>
      <c r="G35" s="24" t="s">
        <v>138</v>
      </c>
      <c r="H35" s="24" t="s">
        <v>254</v>
      </c>
      <c r="I35" s="24"/>
      <c r="J35" s="35" t="str">
        <f aca="false">IF(I35="Compliant",1,IF(I35="Partial",0.5,IF(I35="Non-Compliant",0,"")))</f>
        <v/>
      </c>
      <c r="K35" s="24"/>
      <c r="L35" s="24"/>
      <c r="M35" s="24" t="str">
        <f aca="false">IF(OR(K35="",L35=""),"",IFERROR(VLOOKUP(K35,'Lists &amp; Calculations'!$F$2:$G$5,2,FALSE())*VLOOKUP(L35,'Lists &amp; Calculations'!$I$2:$J$6,2,FALSE()),""))</f>
        <v/>
      </c>
      <c r="N35" s="24"/>
      <c r="O35" s="24"/>
      <c r="P35" s="24"/>
    </row>
    <row r="36" customFormat="false" ht="27.75" hidden="false" customHeight="true" outlineLevel="0" collapsed="false">
      <c r="B36" s="24" t="s">
        <v>255</v>
      </c>
      <c r="C36" s="24" t="s">
        <v>126</v>
      </c>
      <c r="D36" s="24" t="s">
        <v>67</v>
      </c>
      <c r="E36" s="24" t="s">
        <v>256</v>
      </c>
      <c r="F36" s="24" t="s">
        <v>257</v>
      </c>
      <c r="G36" s="24" t="s">
        <v>138</v>
      </c>
      <c r="H36" s="24" t="s">
        <v>258</v>
      </c>
      <c r="I36" s="24"/>
      <c r="J36" s="35" t="str">
        <f aca="false">IF(I36="Compliant",1,IF(I36="Partial",0.5,IF(I36="Non-Compliant",0,"")))</f>
        <v/>
      </c>
      <c r="K36" s="24"/>
      <c r="L36" s="24"/>
      <c r="M36" s="24" t="str">
        <f aca="false">IF(OR(K36="",L36=""),"",IFERROR(VLOOKUP(K36,'Lists &amp; Calculations'!$F$2:$G$5,2,FALSE())*VLOOKUP(L36,'Lists &amp; Calculations'!$I$2:$J$6,2,FALSE()),""))</f>
        <v/>
      </c>
      <c r="N36" s="24"/>
      <c r="O36" s="24"/>
      <c r="P36" s="24"/>
    </row>
    <row r="37" customFormat="false" ht="27.75" hidden="false" customHeight="true" outlineLevel="0" collapsed="false">
      <c r="B37" s="24" t="s">
        <v>259</v>
      </c>
      <c r="C37" s="24" t="s">
        <v>126</v>
      </c>
      <c r="D37" s="24" t="s">
        <v>67</v>
      </c>
      <c r="E37" s="24" t="s">
        <v>260</v>
      </c>
      <c r="F37" s="24" t="s">
        <v>261</v>
      </c>
      <c r="G37" s="24" t="s">
        <v>209</v>
      </c>
      <c r="H37" s="24" t="s">
        <v>262</v>
      </c>
      <c r="I37" s="24"/>
      <c r="J37" s="35" t="str">
        <f aca="false">IF(I37="Compliant",1,IF(I37="Partial",0.5,IF(I37="Non-Compliant",0,"")))</f>
        <v/>
      </c>
      <c r="K37" s="24"/>
      <c r="L37" s="24"/>
      <c r="M37" s="24" t="str">
        <f aca="false">IF(OR(K37="",L37=""),"",IFERROR(VLOOKUP(K37,'Lists &amp; Calculations'!$F$2:$G$5,2,FALSE())*VLOOKUP(L37,'Lists &amp; Calculations'!$I$2:$J$6,2,FALSE()),""))</f>
        <v/>
      </c>
      <c r="N37" s="24"/>
      <c r="O37" s="24"/>
      <c r="P37" s="24"/>
    </row>
    <row r="38" customFormat="false" ht="27.75" hidden="false" customHeight="true" outlineLevel="0" collapsed="false">
      <c r="B38" s="24" t="s">
        <v>263</v>
      </c>
      <c r="C38" s="24" t="s">
        <v>126</v>
      </c>
      <c r="D38" s="24" t="s">
        <v>67</v>
      </c>
      <c r="E38" s="24" t="s">
        <v>264</v>
      </c>
      <c r="F38" s="24" t="s">
        <v>265</v>
      </c>
      <c r="G38" s="24" t="s">
        <v>138</v>
      </c>
      <c r="H38" s="24" t="s">
        <v>266</v>
      </c>
      <c r="I38" s="24"/>
      <c r="J38" s="35" t="str">
        <f aca="false">IF(I38="Compliant",1,IF(I38="Partial",0.5,IF(I38="Non-Compliant",0,"")))</f>
        <v/>
      </c>
      <c r="K38" s="24"/>
      <c r="L38" s="24"/>
      <c r="M38" s="24" t="str">
        <f aca="false">IF(OR(K38="",L38=""),"",IFERROR(VLOOKUP(K38,'Lists &amp; Calculations'!$F$2:$G$5,2,FALSE())*VLOOKUP(L38,'Lists &amp; Calculations'!$I$2:$J$6,2,FALSE()),""))</f>
        <v/>
      </c>
      <c r="N38" s="24"/>
      <c r="O38" s="24"/>
      <c r="P38" s="24"/>
    </row>
    <row r="39" customFormat="false" ht="27.75" hidden="false" customHeight="true" outlineLevel="0" collapsed="false">
      <c r="B39" s="24" t="s">
        <v>267</v>
      </c>
      <c r="C39" s="24" t="s">
        <v>126</v>
      </c>
      <c r="D39" s="24" t="s">
        <v>67</v>
      </c>
      <c r="E39" s="24" t="s">
        <v>268</v>
      </c>
      <c r="F39" s="24" t="s">
        <v>269</v>
      </c>
      <c r="G39" s="24" t="s">
        <v>138</v>
      </c>
      <c r="H39" s="24" t="s">
        <v>270</v>
      </c>
      <c r="I39" s="24"/>
      <c r="J39" s="35" t="str">
        <f aca="false">IF(I39="Compliant",1,IF(I39="Partial",0.5,IF(I39="Non-Compliant",0,"")))</f>
        <v/>
      </c>
      <c r="K39" s="24"/>
      <c r="L39" s="24"/>
      <c r="M39" s="24" t="str">
        <f aca="false">IF(OR(K39="",L39=""),"",IFERROR(VLOOKUP(K39,'Lists &amp; Calculations'!$F$2:$G$5,2,FALSE())*VLOOKUP(L39,'Lists &amp; Calculations'!$I$2:$J$6,2,FALSE()),""))</f>
        <v/>
      </c>
      <c r="N39" s="24"/>
      <c r="O39" s="24"/>
      <c r="P39" s="24"/>
    </row>
    <row r="40" customFormat="false" ht="27.75" hidden="false" customHeight="true" outlineLevel="0" collapsed="false">
      <c r="B40" s="24" t="s">
        <v>271</v>
      </c>
      <c r="C40" s="24" t="s">
        <v>126</v>
      </c>
      <c r="D40" s="24" t="s">
        <v>67</v>
      </c>
      <c r="E40" s="24" t="s">
        <v>272</v>
      </c>
      <c r="F40" s="24" t="s">
        <v>273</v>
      </c>
      <c r="G40" s="24" t="s">
        <v>138</v>
      </c>
      <c r="H40" s="24" t="s">
        <v>274</v>
      </c>
      <c r="I40" s="24"/>
      <c r="J40" s="35" t="str">
        <f aca="false">IF(I40="Compliant",1,IF(I40="Partial",0.5,IF(I40="Non-Compliant",0,"")))</f>
        <v/>
      </c>
      <c r="K40" s="24"/>
      <c r="L40" s="24"/>
      <c r="M40" s="24" t="str">
        <f aca="false">IF(OR(K40="",L40=""),"",IFERROR(VLOOKUP(K40,'Lists &amp; Calculations'!$F$2:$G$5,2,FALSE())*VLOOKUP(L40,'Lists &amp; Calculations'!$I$2:$J$6,2,FALSE()),""))</f>
        <v/>
      </c>
      <c r="N40" s="24"/>
      <c r="O40" s="24"/>
      <c r="P40" s="24"/>
    </row>
    <row r="41" customFormat="false" ht="27.75" hidden="false" customHeight="true" outlineLevel="0" collapsed="false">
      <c r="B41" s="24" t="s">
        <v>275</v>
      </c>
      <c r="C41" s="24" t="s">
        <v>126</v>
      </c>
      <c r="D41" s="24" t="s">
        <v>69</v>
      </c>
      <c r="E41" s="24" t="s">
        <v>276</v>
      </c>
      <c r="F41" s="24" t="s">
        <v>277</v>
      </c>
      <c r="G41" s="24" t="s">
        <v>138</v>
      </c>
      <c r="H41" s="24" t="s">
        <v>278</v>
      </c>
      <c r="I41" s="24"/>
      <c r="J41" s="35" t="str">
        <f aca="false">IF(I41="Compliant",1,IF(I41="Partial",0.5,IF(I41="Non-Compliant",0,"")))</f>
        <v/>
      </c>
      <c r="K41" s="24"/>
      <c r="L41" s="24"/>
      <c r="M41" s="24" t="str">
        <f aca="false">IF(OR(K41="",L41=""),"",IFERROR(VLOOKUP(K41,'Lists &amp; Calculations'!$F$2:$G$5,2,FALSE())*VLOOKUP(L41,'Lists &amp; Calculations'!$I$2:$J$6,2,FALSE()),""))</f>
        <v/>
      </c>
      <c r="N41" s="24"/>
      <c r="O41" s="24"/>
      <c r="P41" s="24"/>
    </row>
    <row r="42" customFormat="false" ht="27.75" hidden="false" customHeight="true" outlineLevel="0" collapsed="false">
      <c r="B42" s="24" t="s">
        <v>279</v>
      </c>
      <c r="C42" s="24" t="s">
        <v>126</v>
      </c>
      <c r="D42" s="24" t="s">
        <v>69</v>
      </c>
      <c r="E42" s="24" t="s">
        <v>280</v>
      </c>
      <c r="F42" s="24" t="s">
        <v>281</v>
      </c>
      <c r="G42" s="24" t="s">
        <v>138</v>
      </c>
      <c r="H42" s="24" t="s">
        <v>282</v>
      </c>
      <c r="I42" s="24"/>
      <c r="J42" s="35" t="str">
        <f aca="false">IF(I42="Compliant",1,IF(I42="Partial",0.5,IF(I42="Non-Compliant",0,"")))</f>
        <v/>
      </c>
      <c r="K42" s="24"/>
      <c r="L42" s="24"/>
      <c r="M42" s="24" t="str">
        <f aca="false">IF(OR(K42="",L42=""),"",IFERROR(VLOOKUP(K42,'Lists &amp; Calculations'!$F$2:$G$5,2,FALSE())*VLOOKUP(L42,'Lists &amp; Calculations'!$I$2:$J$6,2,FALSE()),""))</f>
        <v/>
      </c>
      <c r="N42" s="24"/>
      <c r="O42" s="24"/>
      <c r="P42" s="24"/>
    </row>
    <row r="43" customFormat="false" ht="27.75" hidden="false" customHeight="true" outlineLevel="0" collapsed="false">
      <c r="B43" s="24" t="s">
        <v>283</v>
      </c>
      <c r="C43" s="24" t="s">
        <v>126</v>
      </c>
      <c r="D43" s="24" t="s">
        <v>69</v>
      </c>
      <c r="E43" s="24" t="s">
        <v>284</v>
      </c>
      <c r="F43" s="24" t="s">
        <v>285</v>
      </c>
      <c r="G43" s="24" t="s">
        <v>138</v>
      </c>
      <c r="H43" s="24" t="s">
        <v>286</v>
      </c>
      <c r="I43" s="24"/>
      <c r="J43" s="35" t="str">
        <f aca="false">IF(I43="Compliant",1,IF(I43="Partial",0.5,IF(I43="Non-Compliant",0,"")))</f>
        <v/>
      </c>
      <c r="K43" s="24"/>
      <c r="L43" s="24"/>
      <c r="M43" s="24" t="str">
        <f aca="false">IF(OR(K43="",L43=""),"",IFERROR(VLOOKUP(K43,'Lists &amp; Calculations'!$F$2:$G$5,2,FALSE())*VLOOKUP(L43,'Lists &amp; Calculations'!$I$2:$J$6,2,FALSE()),""))</f>
        <v/>
      </c>
      <c r="N43" s="24"/>
      <c r="O43" s="24"/>
      <c r="P43" s="24"/>
    </row>
    <row r="44" customFormat="false" ht="27.75" hidden="false" customHeight="true" outlineLevel="0" collapsed="false">
      <c r="B44" s="24" t="s">
        <v>287</v>
      </c>
      <c r="C44" s="24" t="s">
        <v>126</v>
      </c>
      <c r="D44" s="24" t="s">
        <v>69</v>
      </c>
      <c r="E44" s="24" t="s">
        <v>288</v>
      </c>
      <c r="F44" s="24" t="s">
        <v>289</v>
      </c>
      <c r="G44" s="24" t="s">
        <v>138</v>
      </c>
      <c r="H44" s="24" t="s">
        <v>290</v>
      </c>
      <c r="I44" s="24"/>
      <c r="J44" s="35" t="str">
        <f aca="false">IF(I44="Compliant",1,IF(I44="Partial",0.5,IF(I44="Non-Compliant",0,"")))</f>
        <v/>
      </c>
      <c r="K44" s="24"/>
      <c r="L44" s="24"/>
      <c r="M44" s="24" t="str">
        <f aca="false">IF(OR(K44="",L44=""),"",IFERROR(VLOOKUP(K44,'Lists &amp; Calculations'!$F$2:$G$5,2,FALSE())*VLOOKUP(L44,'Lists &amp; Calculations'!$I$2:$J$6,2,FALSE()),""))</f>
        <v/>
      </c>
      <c r="N44" s="24"/>
      <c r="O44" s="24"/>
      <c r="P44" s="24"/>
    </row>
    <row r="45" customFormat="false" ht="27.75" hidden="false" customHeight="true" outlineLevel="0" collapsed="false">
      <c r="B45" s="24" t="s">
        <v>291</v>
      </c>
      <c r="C45" s="24" t="s">
        <v>126</v>
      </c>
      <c r="D45" s="24" t="s">
        <v>69</v>
      </c>
      <c r="E45" s="24" t="s">
        <v>292</v>
      </c>
      <c r="F45" s="24" t="s">
        <v>293</v>
      </c>
      <c r="G45" s="24" t="s">
        <v>138</v>
      </c>
      <c r="H45" s="24" t="s">
        <v>294</v>
      </c>
      <c r="I45" s="24"/>
      <c r="J45" s="35" t="str">
        <f aca="false">IF(I45="Compliant",1,IF(I45="Partial",0.5,IF(I45="Non-Compliant",0,"")))</f>
        <v/>
      </c>
      <c r="K45" s="24"/>
      <c r="L45" s="24"/>
      <c r="M45" s="24" t="str">
        <f aca="false">IF(OR(K45="",L45=""),"",IFERROR(VLOOKUP(K45,'Lists &amp; Calculations'!$F$2:$G$5,2,FALSE())*VLOOKUP(L45,'Lists &amp; Calculations'!$I$2:$J$6,2,FALSE()),""))</f>
        <v/>
      </c>
      <c r="N45" s="24"/>
      <c r="O45" s="24"/>
      <c r="P45" s="24"/>
    </row>
    <row r="46" customFormat="false" ht="27.75" hidden="false" customHeight="true" outlineLevel="0" collapsed="false">
      <c r="B46" s="24" t="s">
        <v>295</v>
      </c>
      <c r="C46" s="24" t="s">
        <v>126</v>
      </c>
      <c r="D46" s="24" t="s">
        <v>69</v>
      </c>
      <c r="E46" s="24" t="s">
        <v>296</v>
      </c>
      <c r="F46" s="24" t="s">
        <v>297</v>
      </c>
      <c r="G46" s="24" t="s">
        <v>138</v>
      </c>
      <c r="H46" s="24" t="s">
        <v>298</v>
      </c>
      <c r="I46" s="24"/>
      <c r="J46" s="35" t="str">
        <f aca="false">IF(I46="Compliant",1,IF(I46="Partial",0.5,IF(I46="Non-Compliant",0,"")))</f>
        <v/>
      </c>
      <c r="K46" s="24"/>
      <c r="L46" s="24"/>
      <c r="M46" s="24" t="str">
        <f aca="false">IF(OR(K46="",L46=""),"",IFERROR(VLOOKUP(K46,'Lists &amp; Calculations'!$F$2:$G$5,2,FALSE())*VLOOKUP(L46,'Lists &amp; Calculations'!$I$2:$J$6,2,FALSE()),""))</f>
        <v/>
      </c>
      <c r="N46" s="24"/>
      <c r="O46" s="24"/>
      <c r="P46" s="24"/>
    </row>
    <row r="47" customFormat="false" ht="15" hidden="false" customHeight="true" outlineLevel="0" collapsed="false">
      <c r="B47" s="24" t="s">
        <v>299</v>
      </c>
      <c r="C47" s="24" t="s">
        <v>126</v>
      </c>
      <c r="D47" s="24" t="s">
        <v>69</v>
      </c>
      <c r="E47" s="24" t="s">
        <v>300</v>
      </c>
      <c r="F47" s="24" t="s">
        <v>301</v>
      </c>
      <c r="G47" s="24" t="s">
        <v>138</v>
      </c>
      <c r="H47" s="24" t="s">
        <v>302</v>
      </c>
      <c r="I47" s="24"/>
      <c r="J47" s="35" t="str">
        <f aca="false">IF(I47="Compliant",1,IF(I47="Partial",0.5,IF(I47="Non-Compliant",0,"")))</f>
        <v/>
      </c>
      <c r="K47" s="24"/>
      <c r="L47" s="24"/>
      <c r="M47" s="24" t="str">
        <f aca="false">IF(OR(K47="",L47=""),"",IFERROR(VLOOKUP(K47,'Lists &amp; Calculations'!$F$2:$G$5,2,FALSE())*VLOOKUP(L47,'Lists &amp; Calculations'!$I$2:$J$6,2,FALSE()),""))</f>
        <v/>
      </c>
      <c r="N47" s="24"/>
      <c r="O47" s="24"/>
      <c r="P47" s="24"/>
    </row>
    <row r="48" customFormat="false" ht="27.75" hidden="false" customHeight="true" outlineLevel="0" collapsed="false">
      <c r="B48" s="24" t="s">
        <v>303</v>
      </c>
      <c r="C48" s="24" t="s">
        <v>126</v>
      </c>
      <c r="D48" s="24" t="s">
        <v>70</v>
      </c>
      <c r="E48" s="24" t="s">
        <v>304</v>
      </c>
      <c r="F48" s="24" t="s">
        <v>305</v>
      </c>
      <c r="G48" s="24" t="s">
        <v>172</v>
      </c>
      <c r="H48" s="24" t="s">
        <v>306</v>
      </c>
      <c r="I48" s="24"/>
      <c r="J48" s="35" t="str">
        <f aca="false">IF(I48="Compliant",1,IF(I48="Partial",0.5,IF(I48="Non-Compliant",0,"")))</f>
        <v/>
      </c>
      <c r="K48" s="24"/>
      <c r="L48" s="24"/>
      <c r="M48" s="24" t="str">
        <f aca="false">IF(OR(K48="",L48=""),"",IFERROR(VLOOKUP(K48,'Lists &amp; Calculations'!$F$2:$G$5,2,FALSE())*VLOOKUP(L48,'Lists &amp; Calculations'!$I$2:$J$6,2,FALSE()),""))</f>
        <v/>
      </c>
      <c r="N48" s="24"/>
      <c r="O48" s="24"/>
      <c r="P48" s="24"/>
    </row>
    <row r="49" customFormat="false" ht="27.75" hidden="false" customHeight="true" outlineLevel="0" collapsed="false">
      <c r="B49" s="24" t="s">
        <v>307</v>
      </c>
      <c r="C49" s="24" t="s">
        <v>126</v>
      </c>
      <c r="D49" s="24" t="s">
        <v>70</v>
      </c>
      <c r="E49" s="24" t="s">
        <v>308</v>
      </c>
      <c r="F49" s="24" t="s">
        <v>309</v>
      </c>
      <c r="G49" s="24" t="s">
        <v>138</v>
      </c>
      <c r="H49" s="24" t="s">
        <v>310</v>
      </c>
      <c r="I49" s="24"/>
      <c r="J49" s="35" t="str">
        <f aca="false">IF(I49="Compliant",1,IF(I49="Partial",0.5,IF(I49="Non-Compliant",0,"")))</f>
        <v/>
      </c>
      <c r="K49" s="24"/>
      <c r="L49" s="24"/>
      <c r="M49" s="24" t="str">
        <f aca="false">IF(OR(K49="",L49=""),"",IFERROR(VLOOKUP(K49,'Lists &amp; Calculations'!$F$2:$G$5,2,FALSE())*VLOOKUP(L49,'Lists &amp; Calculations'!$I$2:$J$6,2,FALSE()),""))</f>
        <v/>
      </c>
      <c r="N49" s="24"/>
      <c r="O49" s="24"/>
      <c r="P49" s="24"/>
    </row>
    <row r="50" customFormat="false" ht="27.75" hidden="false" customHeight="true" outlineLevel="0" collapsed="false">
      <c r="B50" s="24" t="s">
        <v>311</v>
      </c>
      <c r="C50" s="24" t="s">
        <v>126</v>
      </c>
      <c r="D50" s="24" t="s">
        <v>70</v>
      </c>
      <c r="E50" s="24" t="s">
        <v>312</v>
      </c>
      <c r="F50" s="24" t="s">
        <v>313</v>
      </c>
      <c r="G50" s="24" t="s">
        <v>209</v>
      </c>
      <c r="H50" s="24" t="s">
        <v>314</v>
      </c>
      <c r="I50" s="24"/>
      <c r="J50" s="35" t="str">
        <f aca="false">IF(I50="Compliant",1,IF(I50="Partial",0.5,IF(I50="Non-Compliant",0,"")))</f>
        <v/>
      </c>
      <c r="K50" s="24"/>
      <c r="L50" s="24"/>
      <c r="M50" s="24" t="str">
        <f aca="false">IF(OR(K50="",L50=""),"",IFERROR(VLOOKUP(K50,'Lists &amp; Calculations'!$F$2:$G$5,2,FALSE())*VLOOKUP(L50,'Lists &amp; Calculations'!$I$2:$J$6,2,FALSE()),""))</f>
        <v/>
      </c>
      <c r="N50" s="24"/>
      <c r="O50" s="24"/>
      <c r="P50" s="24"/>
    </row>
    <row r="51" customFormat="false" ht="27.75" hidden="false" customHeight="true" outlineLevel="0" collapsed="false">
      <c r="B51" s="24" t="s">
        <v>315</v>
      </c>
      <c r="C51" s="24" t="s">
        <v>126</v>
      </c>
      <c r="D51" s="24" t="s">
        <v>70</v>
      </c>
      <c r="E51" s="24" t="s">
        <v>316</v>
      </c>
      <c r="F51" s="24" t="s">
        <v>317</v>
      </c>
      <c r="G51" s="24" t="s">
        <v>138</v>
      </c>
      <c r="H51" s="24" t="s">
        <v>318</v>
      </c>
      <c r="I51" s="24"/>
      <c r="J51" s="35" t="str">
        <f aca="false">IF(I51="Compliant",1,IF(I51="Partial",0.5,IF(I51="Non-Compliant",0,"")))</f>
        <v/>
      </c>
      <c r="K51" s="24"/>
      <c r="L51" s="24"/>
      <c r="M51" s="24" t="str">
        <f aca="false">IF(OR(K51="",L51=""),"",IFERROR(VLOOKUP(K51,'Lists &amp; Calculations'!$F$2:$G$5,2,FALSE())*VLOOKUP(L51,'Lists &amp; Calculations'!$I$2:$J$6,2,FALSE()),""))</f>
        <v/>
      </c>
      <c r="N51" s="24"/>
      <c r="O51" s="24"/>
      <c r="P51" s="24"/>
    </row>
    <row r="52" customFormat="false" ht="27.75" hidden="false" customHeight="true" outlineLevel="0" collapsed="false">
      <c r="B52" s="24" t="s">
        <v>319</v>
      </c>
      <c r="C52" s="24" t="s">
        <v>126</v>
      </c>
      <c r="D52" s="24" t="s">
        <v>70</v>
      </c>
      <c r="E52" s="24" t="s">
        <v>320</v>
      </c>
      <c r="F52" s="24" t="s">
        <v>321</v>
      </c>
      <c r="G52" s="24" t="s">
        <v>138</v>
      </c>
      <c r="H52" s="24" t="s">
        <v>322</v>
      </c>
      <c r="I52" s="24"/>
      <c r="J52" s="35" t="str">
        <f aca="false">IF(I52="Compliant",1,IF(I52="Partial",0.5,IF(I52="Non-Compliant",0,"")))</f>
        <v/>
      </c>
      <c r="K52" s="24"/>
      <c r="L52" s="24"/>
      <c r="M52" s="24" t="str">
        <f aca="false">IF(OR(K52="",L52=""),"",IFERROR(VLOOKUP(K52,'Lists &amp; Calculations'!$F$2:$G$5,2,FALSE())*VLOOKUP(L52,'Lists &amp; Calculations'!$I$2:$J$6,2,FALSE()),""))</f>
        <v/>
      </c>
      <c r="N52" s="24"/>
      <c r="O52" s="24"/>
      <c r="P52" s="24"/>
    </row>
    <row r="53" customFormat="false" ht="27.75" hidden="false" customHeight="true" outlineLevel="0" collapsed="false">
      <c r="B53" s="24" t="s">
        <v>323</v>
      </c>
      <c r="C53" s="24" t="s">
        <v>126</v>
      </c>
      <c r="D53" s="24" t="s">
        <v>70</v>
      </c>
      <c r="E53" s="24" t="s">
        <v>324</v>
      </c>
      <c r="F53" s="24" t="s">
        <v>325</v>
      </c>
      <c r="G53" s="24" t="s">
        <v>138</v>
      </c>
      <c r="H53" s="24" t="s">
        <v>326</v>
      </c>
      <c r="I53" s="24"/>
      <c r="J53" s="35" t="str">
        <f aca="false">IF(I53="Compliant",1,IF(I53="Partial",0.5,IF(I53="Non-Compliant",0,"")))</f>
        <v/>
      </c>
      <c r="K53" s="24"/>
      <c r="L53" s="24"/>
      <c r="M53" s="24" t="str">
        <f aca="false">IF(OR(K53="",L53=""),"",IFERROR(VLOOKUP(K53,'Lists &amp; Calculations'!$F$2:$G$5,2,FALSE())*VLOOKUP(L53,'Lists &amp; Calculations'!$I$2:$J$6,2,FALSE()),""))</f>
        <v/>
      </c>
      <c r="N53" s="24"/>
      <c r="O53" s="24"/>
      <c r="P53" s="24"/>
    </row>
    <row r="54" customFormat="false" ht="27.75" hidden="false" customHeight="true" outlineLevel="0" collapsed="false">
      <c r="B54" s="24" t="s">
        <v>327</v>
      </c>
      <c r="C54" s="24" t="s">
        <v>126</v>
      </c>
      <c r="D54" s="24" t="s">
        <v>70</v>
      </c>
      <c r="E54" s="24" t="s">
        <v>328</v>
      </c>
      <c r="F54" s="24" t="s">
        <v>329</v>
      </c>
      <c r="G54" s="24" t="s">
        <v>138</v>
      </c>
      <c r="H54" s="24" t="s">
        <v>330</v>
      </c>
      <c r="I54" s="24"/>
      <c r="J54" s="35" t="str">
        <f aca="false">IF(I54="Compliant",1,IF(I54="Partial",0.5,IF(I54="Non-Compliant",0,"")))</f>
        <v/>
      </c>
      <c r="K54" s="24"/>
      <c r="L54" s="24"/>
      <c r="M54" s="24" t="str">
        <f aca="false">IF(OR(K54="",L54=""),"",IFERROR(VLOOKUP(K54,'Lists &amp; Calculations'!$F$2:$G$5,2,FALSE())*VLOOKUP(L54,'Lists &amp; Calculations'!$I$2:$J$6,2,FALSE()),""))</f>
        <v/>
      </c>
      <c r="N54" s="24"/>
      <c r="O54" s="24"/>
      <c r="P54" s="24"/>
    </row>
    <row r="55" customFormat="false" ht="27.75" hidden="false" customHeight="true" outlineLevel="0" collapsed="false">
      <c r="B55" s="24" t="s">
        <v>331</v>
      </c>
      <c r="C55" s="24" t="s">
        <v>126</v>
      </c>
      <c r="D55" s="24" t="s">
        <v>71</v>
      </c>
      <c r="E55" s="24" t="s">
        <v>332</v>
      </c>
      <c r="F55" s="24" t="s">
        <v>333</v>
      </c>
      <c r="G55" s="24" t="s">
        <v>138</v>
      </c>
      <c r="H55" s="24" t="s">
        <v>334</v>
      </c>
      <c r="I55" s="24"/>
      <c r="J55" s="35" t="str">
        <f aca="false">IF(I55="Compliant",1,IF(I55="Partial",0.5,IF(I55="Non-Compliant",0,"")))</f>
        <v/>
      </c>
      <c r="K55" s="24"/>
      <c r="L55" s="24"/>
      <c r="M55" s="24" t="str">
        <f aca="false">IF(OR(K55="",L55=""),"",IFERROR(VLOOKUP(K55,'Lists &amp; Calculations'!$F$2:$G$5,2,FALSE())*VLOOKUP(L55,'Lists &amp; Calculations'!$I$2:$J$6,2,FALSE()),""))</f>
        <v/>
      </c>
      <c r="N55" s="24"/>
      <c r="O55" s="24"/>
      <c r="P55" s="24"/>
    </row>
    <row r="56" customFormat="false" ht="27.75" hidden="false" customHeight="true" outlineLevel="0" collapsed="false">
      <c r="B56" s="24" t="s">
        <v>335</v>
      </c>
      <c r="C56" s="24" t="s">
        <v>126</v>
      </c>
      <c r="D56" s="24" t="s">
        <v>71</v>
      </c>
      <c r="E56" s="24" t="s">
        <v>336</v>
      </c>
      <c r="F56" s="24" t="s">
        <v>337</v>
      </c>
      <c r="G56" s="24" t="s">
        <v>138</v>
      </c>
      <c r="H56" s="24" t="s">
        <v>338</v>
      </c>
      <c r="I56" s="24"/>
      <c r="J56" s="35" t="str">
        <f aca="false">IF(I56="Compliant",1,IF(I56="Partial",0.5,IF(I56="Non-Compliant",0,"")))</f>
        <v/>
      </c>
      <c r="K56" s="24"/>
      <c r="L56" s="24"/>
      <c r="M56" s="24" t="str">
        <f aca="false">IF(OR(K56="",L56=""),"",IFERROR(VLOOKUP(K56,'Lists &amp; Calculations'!$F$2:$G$5,2,FALSE())*VLOOKUP(L56,'Lists &amp; Calculations'!$I$2:$J$6,2,FALSE()),""))</f>
        <v/>
      </c>
      <c r="N56" s="24"/>
      <c r="O56" s="24"/>
      <c r="P56" s="24"/>
    </row>
    <row r="57" customFormat="false" ht="27.75" hidden="false" customHeight="true" outlineLevel="0" collapsed="false">
      <c r="B57" s="24" t="s">
        <v>339</v>
      </c>
      <c r="C57" s="24" t="s">
        <v>126</v>
      </c>
      <c r="D57" s="24" t="s">
        <v>71</v>
      </c>
      <c r="E57" s="24" t="s">
        <v>340</v>
      </c>
      <c r="F57" s="24" t="s">
        <v>341</v>
      </c>
      <c r="G57" s="24" t="s">
        <v>129</v>
      </c>
      <c r="H57" s="24" t="s">
        <v>342</v>
      </c>
      <c r="I57" s="24"/>
      <c r="J57" s="35" t="str">
        <f aca="false">IF(I57="Compliant",1,IF(I57="Partial",0.5,IF(I57="Non-Compliant",0,"")))</f>
        <v/>
      </c>
      <c r="K57" s="24"/>
      <c r="L57" s="24"/>
      <c r="M57" s="24" t="str">
        <f aca="false">IF(OR(K57="",L57=""),"",IFERROR(VLOOKUP(K57,'Lists &amp; Calculations'!$F$2:$G$5,2,FALSE())*VLOOKUP(L57,'Lists &amp; Calculations'!$I$2:$J$6,2,FALSE()),""))</f>
        <v/>
      </c>
      <c r="N57" s="24"/>
      <c r="O57" s="24"/>
      <c r="P57" s="24"/>
    </row>
    <row r="58" customFormat="false" ht="15" hidden="false" customHeight="true" outlineLevel="0" collapsed="false">
      <c r="B58" s="24" t="s">
        <v>343</v>
      </c>
      <c r="C58" s="24" t="s">
        <v>126</v>
      </c>
      <c r="D58" s="24" t="s">
        <v>71</v>
      </c>
      <c r="E58" s="24" t="s">
        <v>344</v>
      </c>
      <c r="F58" s="24" t="s">
        <v>345</v>
      </c>
      <c r="G58" s="24" t="s">
        <v>138</v>
      </c>
      <c r="H58" s="24" t="s">
        <v>346</v>
      </c>
      <c r="I58" s="24"/>
      <c r="J58" s="35" t="str">
        <f aca="false">IF(I58="Compliant",1,IF(I58="Partial",0.5,IF(I58="Non-Compliant",0,"")))</f>
        <v/>
      </c>
      <c r="K58" s="24"/>
      <c r="L58" s="24"/>
      <c r="M58" s="24" t="str">
        <f aca="false">IF(OR(K58="",L58=""),"",IFERROR(VLOOKUP(K58,'Lists &amp; Calculations'!$F$2:$G$5,2,FALSE())*VLOOKUP(L58,'Lists &amp; Calculations'!$I$2:$J$6,2,FALSE()),""))</f>
        <v/>
      </c>
      <c r="N58" s="24"/>
      <c r="O58" s="24"/>
      <c r="P58" s="24"/>
    </row>
    <row r="59" customFormat="false" ht="27.75" hidden="false" customHeight="true" outlineLevel="0" collapsed="false">
      <c r="B59" s="24" t="s">
        <v>347</v>
      </c>
      <c r="C59" s="24" t="s">
        <v>126</v>
      </c>
      <c r="D59" s="24" t="s">
        <v>71</v>
      </c>
      <c r="E59" s="24" t="s">
        <v>348</v>
      </c>
      <c r="F59" s="24" t="s">
        <v>349</v>
      </c>
      <c r="G59" s="24" t="s">
        <v>138</v>
      </c>
      <c r="H59" s="24" t="s">
        <v>350</v>
      </c>
      <c r="I59" s="24"/>
      <c r="J59" s="35" t="str">
        <f aca="false">IF(I59="Compliant",1,IF(I59="Partial",0.5,IF(I59="Non-Compliant",0,"")))</f>
        <v/>
      </c>
      <c r="K59" s="24"/>
      <c r="L59" s="24"/>
      <c r="M59" s="24" t="str">
        <f aca="false">IF(OR(K59="",L59=""),"",IFERROR(VLOOKUP(K59,'Lists &amp; Calculations'!$F$2:$G$5,2,FALSE())*VLOOKUP(L59,'Lists &amp; Calculations'!$I$2:$J$6,2,FALSE()),""))</f>
        <v/>
      </c>
      <c r="N59" s="24"/>
      <c r="O59" s="24"/>
      <c r="P59" s="24"/>
    </row>
    <row r="60" customFormat="false" ht="27.75" hidden="false" customHeight="true" outlineLevel="0" collapsed="false">
      <c r="B60" s="24" t="s">
        <v>351</v>
      </c>
      <c r="C60" s="24" t="s">
        <v>126</v>
      </c>
      <c r="D60" s="24" t="s">
        <v>71</v>
      </c>
      <c r="E60" s="24" t="s">
        <v>352</v>
      </c>
      <c r="F60" s="24" t="s">
        <v>353</v>
      </c>
      <c r="G60" s="24" t="s">
        <v>138</v>
      </c>
      <c r="H60" s="24" t="s">
        <v>354</v>
      </c>
      <c r="I60" s="24"/>
      <c r="J60" s="35" t="str">
        <f aca="false">IF(I60="Compliant",1,IF(I60="Partial",0.5,IF(I60="Non-Compliant",0,"")))</f>
        <v/>
      </c>
      <c r="K60" s="24"/>
      <c r="L60" s="24"/>
      <c r="M60" s="24" t="str">
        <f aca="false">IF(OR(K60="",L60=""),"",IFERROR(VLOOKUP(K60,'Lists &amp; Calculations'!$F$2:$G$5,2,FALSE())*VLOOKUP(L60,'Lists &amp; Calculations'!$I$2:$J$6,2,FALSE()),""))</f>
        <v/>
      </c>
      <c r="N60" s="24"/>
      <c r="O60" s="24"/>
      <c r="P60" s="24"/>
    </row>
    <row r="61" customFormat="false" ht="27.75" hidden="false" customHeight="true" outlineLevel="0" collapsed="false">
      <c r="B61" s="24" t="s">
        <v>355</v>
      </c>
      <c r="C61" s="24" t="s">
        <v>126</v>
      </c>
      <c r="D61" s="24" t="s">
        <v>72</v>
      </c>
      <c r="E61" s="24" t="s">
        <v>356</v>
      </c>
      <c r="F61" s="24" t="s">
        <v>357</v>
      </c>
      <c r="G61" s="24" t="s">
        <v>209</v>
      </c>
      <c r="H61" s="24" t="s">
        <v>358</v>
      </c>
      <c r="I61" s="24"/>
      <c r="J61" s="35" t="str">
        <f aca="false">IF(I61="Compliant",1,IF(I61="Partial",0.5,IF(I61="Non-Compliant",0,"")))</f>
        <v/>
      </c>
      <c r="K61" s="24"/>
      <c r="L61" s="24"/>
      <c r="M61" s="24" t="str">
        <f aca="false">IF(OR(K61="",L61=""),"",IFERROR(VLOOKUP(K61,'Lists &amp; Calculations'!$F$2:$G$5,2,FALSE())*VLOOKUP(L61,'Lists &amp; Calculations'!$I$2:$J$6,2,FALSE()),""))</f>
        <v/>
      </c>
      <c r="N61" s="24"/>
      <c r="O61" s="24"/>
      <c r="P61" s="24"/>
    </row>
    <row r="62" customFormat="false" ht="27.75" hidden="false" customHeight="true" outlineLevel="0" collapsed="false">
      <c r="B62" s="24" t="s">
        <v>359</v>
      </c>
      <c r="C62" s="24" t="s">
        <v>126</v>
      </c>
      <c r="D62" s="24" t="s">
        <v>72</v>
      </c>
      <c r="E62" s="24" t="s">
        <v>360</v>
      </c>
      <c r="F62" s="24" t="s">
        <v>361</v>
      </c>
      <c r="G62" s="24" t="s">
        <v>138</v>
      </c>
      <c r="H62" s="24" t="s">
        <v>362</v>
      </c>
      <c r="I62" s="24"/>
      <c r="J62" s="35" t="str">
        <f aca="false">IF(I62="Compliant",1,IF(I62="Partial",0.5,IF(I62="Non-Compliant",0,"")))</f>
        <v/>
      </c>
      <c r="K62" s="24"/>
      <c r="L62" s="24"/>
      <c r="M62" s="24" t="str">
        <f aca="false">IF(OR(K62="",L62=""),"",IFERROR(VLOOKUP(K62,'Lists &amp; Calculations'!$F$2:$G$5,2,FALSE())*VLOOKUP(L62,'Lists &amp; Calculations'!$I$2:$J$6,2,FALSE()),""))</f>
        <v/>
      </c>
      <c r="N62" s="24"/>
      <c r="O62" s="24"/>
      <c r="P62" s="24"/>
    </row>
    <row r="63" customFormat="false" ht="27.75" hidden="false" customHeight="true" outlineLevel="0" collapsed="false">
      <c r="B63" s="24" t="s">
        <v>363</v>
      </c>
      <c r="C63" s="24" t="s">
        <v>126</v>
      </c>
      <c r="D63" s="24" t="s">
        <v>72</v>
      </c>
      <c r="E63" s="24" t="s">
        <v>364</v>
      </c>
      <c r="F63" s="24" t="s">
        <v>365</v>
      </c>
      <c r="G63" s="24" t="s">
        <v>138</v>
      </c>
      <c r="H63" s="24" t="s">
        <v>366</v>
      </c>
      <c r="I63" s="24"/>
      <c r="J63" s="35" t="str">
        <f aca="false">IF(I63="Compliant",1,IF(I63="Partial",0.5,IF(I63="Non-Compliant",0,"")))</f>
        <v/>
      </c>
      <c r="K63" s="24"/>
      <c r="L63" s="24"/>
      <c r="M63" s="24" t="str">
        <f aca="false">IF(OR(K63="",L63=""),"",IFERROR(VLOOKUP(K63,'Lists &amp; Calculations'!$F$2:$G$5,2,FALSE())*VLOOKUP(L63,'Lists &amp; Calculations'!$I$2:$J$6,2,FALSE()),""))</f>
        <v/>
      </c>
      <c r="N63" s="24"/>
      <c r="O63" s="24"/>
      <c r="P63" s="24"/>
    </row>
    <row r="64" customFormat="false" ht="27.75" hidden="false" customHeight="true" outlineLevel="0" collapsed="false">
      <c r="B64" s="24" t="s">
        <v>367</v>
      </c>
      <c r="C64" s="24" t="s">
        <v>126</v>
      </c>
      <c r="D64" s="24" t="s">
        <v>72</v>
      </c>
      <c r="E64" s="24" t="s">
        <v>368</v>
      </c>
      <c r="F64" s="24" t="s">
        <v>369</v>
      </c>
      <c r="G64" s="24" t="s">
        <v>138</v>
      </c>
      <c r="H64" s="24" t="s">
        <v>370</v>
      </c>
      <c r="I64" s="24"/>
      <c r="J64" s="35" t="str">
        <f aca="false">IF(I64="Compliant",1,IF(I64="Partial",0.5,IF(I64="Non-Compliant",0,"")))</f>
        <v/>
      </c>
      <c r="K64" s="24"/>
      <c r="L64" s="24"/>
      <c r="M64" s="24" t="str">
        <f aca="false">IF(OR(K64="",L64=""),"",IFERROR(VLOOKUP(K64,'Lists &amp; Calculations'!$F$2:$G$5,2,FALSE())*VLOOKUP(L64,'Lists &amp; Calculations'!$I$2:$J$6,2,FALSE()),""))</f>
        <v/>
      </c>
      <c r="N64" s="24"/>
      <c r="O64" s="24"/>
      <c r="P64" s="24"/>
    </row>
    <row r="65" customFormat="false" ht="27.75" hidden="false" customHeight="true" outlineLevel="0" collapsed="false">
      <c r="B65" s="24" t="s">
        <v>371</v>
      </c>
      <c r="C65" s="24" t="s">
        <v>126</v>
      </c>
      <c r="D65" s="24" t="s">
        <v>72</v>
      </c>
      <c r="E65" s="24" t="s">
        <v>372</v>
      </c>
      <c r="F65" s="24" t="s">
        <v>373</v>
      </c>
      <c r="G65" s="24" t="s">
        <v>138</v>
      </c>
      <c r="H65" s="24" t="s">
        <v>374</v>
      </c>
      <c r="I65" s="24"/>
      <c r="J65" s="35" t="str">
        <f aca="false">IF(I65="Compliant",1,IF(I65="Partial",0.5,IF(I65="Non-Compliant",0,"")))</f>
        <v/>
      </c>
      <c r="K65" s="24"/>
      <c r="L65" s="24"/>
      <c r="M65" s="24" t="str">
        <f aca="false">IF(OR(K65="",L65=""),"",IFERROR(VLOOKUP(K65,'Lists &amp; Calculations'!$F$2:$G$5,2,FALSE())*VLOOKUP(L65,'Lists &amp; Calculations'!$I$2:$J$6,2,FALSE()),""))</f>
        <v/>
      </c>
      <c r="N65" s="24"/>
      <c r="O65" s="24"/>
      <c r="P65" s="24"/>
    </row>
    <row r="66" customFormat="false" ht="27.75" hidden="false" customHeight="true" outlineLevel="0" collapsed="false">
      <c r="B66" s="24" t="s">
        <v>375</v>
      </c>
      <c r="C66" s="24" t="s">
        <v>126</v>
      </c>
      <c r="D66" s="24" t="s">
        <v>72</v>
      </c>
      <c r="E66" s="24" t="s">
        <v>376</v>
      </c>
      <c r="F66" s="24" t="s">
        <v>377</v>
      </c>
      <c r="G66" s="24" t="s">
        <v>138</v>
      </c>
      <c r="H66" s="24" t="s">
        <v>378</v>
      </c>
      <c r="I66" s="24"/>
      <c r="J66" s="35" t="str">
        <f aca="false">IF(I66="Compliant",1,IF(I66="Partial",0.5,IF(I66="Non-Compliant",0,"")))</f>
        <v/>
      </c>
      <c r="K66" s="24"/>
      <c r="L66" s="24"/>
      <c r="M66" s="24" t="str">
        <f aca="false">IF(OR(K66="",L66=""),"",IFERROR(VLOOKUP(K66,'Lists &amp; Calculations'!$F$2:$G$5,2,FALSE())*VLOOKUP(L66,'Lists &amp; Calculations'!$I$2:$J$6,2,FALSE()),""))</f>
        <v/>
      </c>
      <c r="N66" s="24"/>
      <c r="O66" s="24"/>
      <c r="P66" s="24"/>
    </row>
    <row r="67" customFormat="false" ht="27.75" hidden="false" customHeight="true" outlineLevel="0" collapsed="false">
      <c r="B67" s="24" t="s">
        <v>379</v>
      </c>
      <c r="C67" s="24" t="s">
        <v>126</v>
      </c>
      <c r="D67" s="24" t="s">
        <v>72</v>
      </c>
      <c r="E67" s="24" t="s">
        <v>380</v>
      </c>
      <c r="F67" s="24" t="s">
        <v>381</v>
      </c>
      <c r="G67" s="24" t="s">
        <v>138</v>
      </c>
      <c r="H67" s="24" t="s">
        <v>382</v>
      </c>
      <c r="I67" s="24"/>
      <c r="J67" s="35" t="str">
        <f aca="false">IF(I67="Compliant",1,IF(I67="Partial",0.5,IF(I67="Non-Compliant",0,"")))</f>
        <v/>
      </c>
      <c r="K67" s="24"/>
      <c r="L67" s="24"/>
      <c r="M67" s="24" t="str">
        <f aca="false">IF(OR(K67="",L67=""),"",IFERROR(VLOOKUP(K67,'Lists &amp; Calculations'!$F$2:$G$5,2,FALSE())*VLOOKUP(L67,'Lists &amp; Calculations'!$I$2:$J$6,2,FALSE()),""))</f>
        <v/>
      </c>
      <c r="N67" s="24"/>
      <c r="O67" s="24"/>
      <c r="P67" s="24"/>
    </row>
    <row r="68" customFormat="false" ht="28.35" hidden="false" customHeight="false" outlineLevel="0" collapsed="false">
      <c r="B68" s="24" t="s">
        <v>383</v>
      </c>
      <c r="C68" s="24" t="s">
        <v>126</v>
      </c>
      <c r="D68" s="24" t="s">
        <v>73</v>
      </c>
      <c r="E68" s="24" t="s">
        <v>384</v>
      </c>
      <c r="F68" s="24" t="s">
        <v>385</v>
      </c>
      <c r="G68" s="24" t="s">
        <v>209</v>
      </c>
      <c r="H68" s="24" t="s">
        <v>386</v>
      </c>
      <c r="I68" s="24"/>
      <c r="J68" s="35" t="str">
        <f aca="false">IF(I68="Compliant",1,IF(I68="Partial",0.5,IF(I68="Non-Compliant",0,"")))</f>
        <v/>
      </c>
      <c r="K68" s="24"/>
      <c r="L68" s="24"/>
      <c r="M68" s="24" t="str">
        <f aca="false">IF(OR(K68="",L68=""),"",IFERROR(VLOOKUP(K68,'Lists &amp; Calculations'!$F$2:$G$5,2,FALSE())*VLOOKUP(L68,'Lists &amp; Calculations'!$I$2:$J$6,2,FALSE()),""))</f>
        <v/>
      </c>
      <c r="N68" s="24"/>
      <c r="O68" s="24"/>
      <c r="P68" s="24"/>
    </row>
    <row r="69" customFormat="false" ht="15" hidden="false" customHeight="true" outlineLevel="0" collapsed="false">
      <c r="B69" s="24" t="s">
        <v>387</v>
      </c>
      <c r="C69" s="24" t="s">
        <v>126</v>
      </c>
      <c r="D69" s="24" t="s">
        <v>73</v>
      </c>
      <c r="E69" s="24" t="s">
        <v>388</v>
      </c>
      <c r="F69" s="24" t="s">
        <v>389</v>
      </c>
      <c r="G69" s="24" t="s">
        <v>138</v>
      </c>
      <c r="H69" s="24" t="s">
        <v>390</v>
      </c>
      <c r="I69" s="24"/>
      <c r="J69" s="35" t="str">
        <f aca="false">IF(I69="Compliant",1,IF(I69="Partial",0.5,IF(I69="Non-Compliant",0,"")))</f>
        <v/>
      </c>
      <c r="K69" s="24"/>
      <c r="L69" s="24"/>
      <c r="M69" s="24" t="str">
        <f aca="false">IF(OR(K69="",L69=""),"",IFERROR(VLOOKUP(K69,'Lists &amp; Calculations'!$F$2:$G$5,2,FALSE())*VLOOKUP(L69,'Lists &amp; Calculations'!$I$2:$J$6,2,FALSE()),""))</f>
        <v/>
      </c>
      <c r="N69" s="24"/>
      <c r="O69" s="24"/>
      <c r="P69" s="24"/>
    </row>
    <row r="70" customFormat="false" ht="15" hidden="false" customHeight="true" outlineLevel="0" collapsed="false">
      <c r="B70" s="24" t="s">
        <v>391</v>
      </c>
      <c r="C70" s="24" t="s">
        <v>126</v>
      </c>
      <c r="D70" s="24" t="s">
        <v>73</v>
      </c>
      <c r="E70" s="24" t="s">
        <v>392</v>
      </c>
      <c r="F70" s="24" t="s">
        <v>393</v>
      </c>
      <c r="G70" s="24" t="s">
        <v>138</v>
      </c>
      <c r="H70" s="24" t="s">
        <v>394</v>
      </c>
      <c r="I70" s="24"/>
      <c r="J70" s="35" t="str">
        <f aca="false">IF(I70="Compliant",1,IF(I70="Partial",0.5,IF(I70="Non-Compliant",0,"")))</f>
        <v/>
      </c>
      <c r="K70" s="24"/>
      <c r="L70" s="24"/>
      <c r="M70" s="24" t="str">
        <f aca="false">IF(OR(K70="",L70=""),"",IFERROR(VLOOKUP(K70,'Lists &amp; Calculations'!$F$2:$G$5,2,FALSE())*VLOOKUP(L70,'Lists &amp; Calculations'!$I$2:$J$6,2,FALSE()),""))</f>
        <v/>
      </c>
      <c r="N70" s="24"/>
      <c r="O70" s="24"/>
      <c r="P70" s="24"/>
    </row>
    <row r="71" customFormat="false" ht="15" hidden="false" customHeight="true" outlineLevel="0" collapsed="false">
      <c r="B71" s="24" t="s">
        <v>395</v>
      </c>
      <c r="C71" s="24" t="s">
        <v>126</v>
      </c>
      <c r="D71" s="24" t="s">
        <v>73</v>
      </c>
      <c r="E71" s="24" t="s">
        <v>396</v>
      </c>
      <c r="F71" s="24" t="s">
        <v>397</v>
      </c>
      <c r="G71" s="24" t="s">
        <v>138</v>
      </c>
      <c r="H71" s="24" t="s">
        <v>398</v>
      </c>
      <c r="I71" s="24"/>
      <c r="J71" s="35" t="str">
        <f aca="false">IF(I71="Compliant",1,IF(I71="Partial",0.5,IF(I71="Non-Compliant",0,"")))</f>
        <v/>
      </c>
      <c r="K71" s="24"/>
      <c r="L71" s="24"/>
      <c r="M71" s="24" t="str">
        <f aca="false">IF(OR(K71="",L71=""),"",IFERROR(VLOOKUP(K71,'Lists &amp; Calculations'!$F$2:$G$5,2,FALSE())*VLOOKUP(L71,'Lists &amp; Calculations'!$I$2:$J$6,2,FALSE()),""))</f>
        <v/>
      </c>
      <c r="N71" s="24"/>
      <c r="O71" s="24"/>
      <c r="P71" s="24"/>
    </row>
    <row r="72" customFormat="false" ht="15" hidden="false" customHeight="true" outlineLevel="0" collapsed="false">
      <c r="B72" s="24" t="s">
        <v>399</v>
      </c>
      <c r="C72" s="24" t="s">
        <v>126</v>
      </c>
      <c r="D72" s="24" t="s">
        <v>73</v>
      </c>
      <c r="E72" s="24" t="s">
        <v>400</v>
      </c>
      <c r="F72" s="24" t="s">
        <v>401</v>
      </c>
      <c r="G72" s="24" t="s">
        <v>138</v>
      </c>
      <c r="H72" s="24" t="s">
        <v>402</v>
      </c>
      <c r="I72" s="24"/>
      <c r="J72" s="35" t="str">
        <f aca="false">IF(I72="Compliant",1,IF(I72="Partial",0.5,IF(I72="Non-Compliant",0,"")))</f>
        <v/>
      </c>
      <c r="K72" s="24"/>
      <c r="L72" s="24"/>
      <c r="M72" s="24" t="str">
        <f aca="false">IF(OR(K72="",L72=""),"",IFERROR(VLOOKUP(K72,'Lists &amp; Calculations'!$F$2:$G$5,2,FALSE())*VLOOKUP(L72,'Lists &amp; Calculations'!$I$2:$J$6,2,FALSE()),""))</f>
        <v/>
      </c>
      <c r="N72" s="24"/>
      <c r="O72" s="24"/>
      <c r="P72" s="24"/>
    </row>
    <row r="73" customFormat="false" ht="15" hidden="false" customHeight="true" outlineLevel="0" collapsed="false">
      <c r="B73" s="24" t="s">
        <v>403</v>
      </c>
      <c r="C73" s="24" t="s">
        <v>126</v>
      </c>
      <c r="D73" s="24" t="s">
        <v>73</v>
      </c>
      <c r="E73" s="24" t="s">
        <v>404</v>
      </c>
      <c r="F73" s="24" t="s">
        <v>405</v>
      </c>
      <c r="G73" s="24" t="s">
        <v>138</v>
      </c>
      <c r="H73" s="24" t="s">
        <v>406</v>
      </c>
      <c r="I73" s="24"/>
      <c r="J73" s="35" t="str">
        <f aca="false">IF(I73="Compliant",1,IF(I73="Partial",0.5,IF(I73="Non-Compliant",0,"")))</f>
        <v/>
      </c>
      <c r="K73" s="24"/>
      <c r="L73" s="24"/>
      <c r="M73" s="24" t="str">
        <f aca="false">IF(OR(K73="",L73=""),"",IFERROR(VLOOKUP(K73,'Lists &amp; Calculations'!$F$2:$G$5,2,FALSE())*VLOOKUP(L73,'Lists &amp; Calculations'!$I$2:$J$6,2,FALSE()),""))</f>
        <v/>
      </c>
      <c r="N73" s="24"/>
      <c r="O73" s="24"/>
      <c r="P73" s="24"/>
    </row>
    <row r="74" customFormat="false" ht="15" hidden="false" customHeight="true" outlineLevel="0" collapsed="false">
      <c r="B74" s="24" t="s">
        <v>407</v>
      </c>
      <c r="C74" s="36" t="s">
        <v>126</v>
      </c>
      <c r="D74" s="24" t="s">
        <v>74</v>
      </c>
      <c r="E74" s="24" t="s">
        <v>408</v>
      </c>
      <c r="F74" s="24" t="s">
        <v>409</v>
      </c>
      <c r="G74" s="24" t="s">
        <v>138</v>
      </c>
      <c r="H74" s="24" t="s">
        <v>410</v>
      </c>
      <c r="I74" s="24"/>
      <c r="J74" s="35" t="str">
        <f aca="false">IF(I74="Compliant",1,IF(I74="Partial",0.5,IF(I74="Non-Compliant",0,"")))</f>
        <v/>
      </c>
      <c r="K74" s="24"/>
      <c r="L74" s="24"/>
      <c r="M74" s="24" t="str">
        <f aca="false">IF(OR(K74="",L74=""),"",IFERROR(VLOOKUP(K74,'Lists &amp; Calculations'!$F$2:$G$5,2,FALSE())*VLOOKUP(L74,'Lists &amp; Calculations'!$I$2:$J$6,2,FALSE()),""))</f>
        <v/>
      </c>
      <c r="N74" s="24"/>
      <c r="O74" s="24"/>
      <c r="P74" s="24"/>
    </row>
    <row r="75" customFormat="false" ht="28.35" hidden="false" customHeight="false" outlineLevel="0" collapsed="false">
      <c r="B75" s="24" t="s">
        <v>411</v>
      </c>
      <c r="C75" s="24" t="s">
        <v>126</v>
      </c>
      <c r="D75" s="24" t="s">
        <v>74</v>
      </c>
      <c r="E75" s="24" t="s">
        <v>412</v>
      </c>
      <c r="F75" s="24" t="s">
        <v>413</v>
      </c>
      <c r="G75" s="24" t="s">
        <v>138</v>
      </c>
      <c r="H75" s="24" t="s">
        <v>414</v>
      </c>
      <c r="I75" s="24"/>
      <c r="J75" s="35" t="str">
        <f aca="false">IF(I75="Compliant",1,IF(I75="Partial",0.5,IF(I75="Non-Compliant",0,"")))</f>
        <v/>
      </c>
      <c r="K75" s="24"/>
      <c r="L75" s="24"/>
      <c r="M75" s="24" t="str">
        <f aca="false">IF(OR(K75="",L75=""),"",IFERROR(VLOOKUP(K75,'Lists &amp; Calculations'!$F$2:$G$5,2,FALSE())*VLOOKUP(L75,'Lists &amp; Calculations'!$I$2:$J$6,2,FALSE()),""))</f>
        <v/>
      </c>
      <c r="N75" s="24"/>
      <c r="O75" s="24"/>
      <c r="P75" s="24"/>
    </row>
    <row r="76" customFormat="false" ht="28.35" hidden="false" customHeight="false" outlineLevel="0" collapsed="false">
      <c r="B76" s="24" t="s">
        <v>415</v>
      </c>
      <c r="C76" s="24" t="s">
        <v>126</v>
      </c>
      <c r="D76" s="24" t="s">
        <v>74</v>
      </c>
      <c r="E76" s="24" t="s">
        <v>416</v>
      </c>
      <c r="F76" s="24" t="s">
        <v>417</v>
      </c>
      <c r="G76" s="24" t="s">
        <v>129</v>
      </c>
      <c r="H76" s="24" t="s">
        <v>418</v>
      </c>
      <c r="I76" s="24"/>
      <c r="J76" s="35" t="str">
        <f aca="false">IF(I76="Compliant",1,IF(I76="Partial",0.5,IF(I76="Non-Compliant",0,"")))</f>
        <v/>
      </c>
      <c r="K76" s="24"/>
      <c r="L76" s="24"/>
      <c r="M76" s="24" t="str">
        <f aca="false">IF(OR(K76="",L76=""),"",IFERROR(VLOOKUP(K76,'Lists &amp; Calculations'!$F$2:$G$5,2,FALSE())*VLOOKUP(L76,'Lists &amp; Calculations'!$I$2:$J$6,2,FALSE()),""))</f>
        <v/>
      </c>
      <c r="N76" s="24"/>
      <c r="O76" s="24"/>
      <c r="P76" s="24"/>
    </row>
    <row r="77" customFormat="false" ht="28.35" hidden="false" customHeight="false" outlineLevel="0" collapsed="false">
      <c r="B77" s="24" t="s">
        <v>419</v>
      </c>
      <c r="C77" s="24" t="s">
        <v>126</v>
      </c>
      <c r="D77" s="24" t="s">
        <v>74</v>
      </c>
      <c r="E77" s="24" t="s">
        <v>420</v>
      </c>
      <c r="F77" s="24" t="s">
        <v>421</v>
      </c>
      <c r="G77" s="24" t="s">
        <v>138</v>
      </c>
      <c r="H77" s="24" t="s">
        <v>422</v>
      </c>
      <c r="I77" s="24"/>
      <c r="J77" s="35" t="str">
        <f aca="false">IF(I77="Compliant",1,IF(I77="Partial",0.5,IF(I77="Non-Compliant",0,"")))</f>
        <v/>
      </c>
      <c r="K77" s="24"/>
      <c r="L77" s="24"/>
      <c r="M77" s="24" t="str">
        <f aca="false">IF(OR(K77="",L77=""),"",IFERROR(VLOOKUP(K77,'Lists &amp; Calculations'!$F$2:$G$5,2,FALSE())*VLOOKUP(L77,'Lists &amp; Calculations'!$I$2:$J$6,2,FALSE()),""))</f>
        <v/>
      </c>
      <c r="N77" s="24"/>
      <c r="O77" s="24"/>
      <c r="P77" s="24"/>
    </row>
    <row r="78" customFormat="false" ht="28.35" hidden="false" customHeight="false" outlineLevel="0" collapsed="false">
      <c r="B78" s="24" t="s">
        <v>423</v>
      </c>
      <c r="C78" s="24" t="s">
        <v>126</v>
      </c>
      <c r="D78" s="24" t="s">
        <v>74</v>
      </c>
      <c r="E78" s="24" t="s">
        <v>424</v>
      </c>
      <c r="F78" s="24" t="s">
        <v>425</v>
      </c>
      <c r="G78" s="24" t="s">
        <v>138</v>
      </c>
      <c r="H78" s="24" t="s">
        <v>426</v>
      </c>
      <c r="I78" s="24"/>
      <c r="J78" s="35" t="str">
        <f aca="false">IF(I78="Compliant",1,IF(I78="Partial",0.5,IF(I78="Non-Compliant",0,"")))</f>
        <v/>
      </c>
      <c r="K78" s="24"/>
      <c r="L78" s="24"/>
      <c r="M78" s="24" t="str">
        <f aca="false">IF(OR(K78="",L78=""),"",IFERROR(VLOOKUP(K78,'Lists &amp; Calculations'!$F$2:$G$5,2,FALSE())*VLOOKUP(L78,'Lists &amp; Calculations'!$I$2:$J$6,2,FALSE()),""))</f>
        <v/>
      </c>
      <c r="N78" s="24"/>
      <c r="O78" s="24"/>
      <c r="P78" s="24"/>
    </row>
    <row r="79" customFormat="false" ht="28.35" hidden="false" customHeight="false" outlineLevel="0" collapsed="false">
      <c r="B79" s="24" t="s">
        <v>427</v>
      </c>
      <c r="C79" s="24" t="s">
        <v>126</v>
      </c>
      <c r="D79" s="24" t="s">
        <v>74</v>
      </c>
      <c r="E79" s="24" t="s">
        <v>428</v>
      </c>
      <c r="F79" s="24" t="s">
        <v>429</v>
      </c>
      <c r="G79" s="24" t="s">
        <v>138</v>
      </c>
      <c r="H79" s="24" t="s">
        <v>430</v>
      </c>
      <c r="I79" s="24"/>
      <c r="J79" s="35" t="str">
        <f aca="false">IF(I79="Compliant",1,IF(I79="Partial",0.5,IF(I79="Non-Compliant",0,"")))</f>
        <v/>
      </c>
      <c r="K79" s="24"/>
      <c r="L79" s="24"/>
      <c r="M79" s="24" t="str">
        <f aca="false">IF(OR(K79="",L79=""),"",IFERROR(VLOOKUP(K79,'Lists &amp; Calculations'!$F$2:$G$5,2,FALSE())*VLOOKUP(L79,'Lists &amp; Calculations'!$I$2:$J$6,2,FALSE()),""))</f>
        <v/>
      </c>
      <c r="N79" s="24"/>
      <c r="O79" s="24"/>
      <c r="P79" s="24"/>
    </row>
    <row r="80" customFormat="false" ht="41.75" hidden="false" customHeight="false" outlineLevel="0" collapsed="false">
      <c r="B80" s="24" t="s">
        <v>431</v>
      </c>
      <c r="C80" s="24" t="s">
        <v>126</v>
      </c>
      <c r="D80" s="24" t="s">
        <v>74</v>
      </c>
      <c r="E80" s="24" t="s">
        <v>432</v>
      </c>
      <c r="F80" s="24" t="s">
        <v>433</v>
      </c>
      <c r="G80" s="24" t="s">
        <v>129</v>
      </c>
      <c r="H80" s="24" t="s">
        <v>434</v>
      </c>
      <c r="I80" s="24"/>
      <c r="J80" s="35" t="str">
        <f aca="false">IF(I80="Compliant",1,IF(I80="Partial",0.5,IF(I80="Non-Compliant",0,"")))</f>
        <v/>
      </c>
      <c r="K80" s="24"/>
      <c r="L80" s="24"/>
      <c r="M80" s="24" t="str">
        <f aca="false">IF(OR(K80="",L80=""),"",IFERROR(VLOOKUP(K80,'Lists &amp; Calculations'!$F$2:$G$5,2,FALSE())*VLOOKUP(L80,'Lists &amp; Calculations'!$I$2:$J$6,2,FALSE()),""))</f>
        <v/>
      </c>
      <c r="N80" s="24"/>
      <c r="O80" s="24"/>
      <c r="P80" s="24"/>
    </row>
    <row r="81" customFormat="false" ht="28.35" hidden="false" customHeight="false" outlineLevel="0" collapsed="false">
      <c r="B81" s="24" t="s">
        <v>435</v>
      </c>
      <c r="C81" s="24" t="s">
        <v>126</v>
      </c>
      <c r="D81" s="24" t="s">
        <v>75</v>
      </c>
      <c r="E81" s="24" t="s">
        <v>436</v>
      </c>
      <c r="F81" s="24" t="s">
        <v>437</v>
      </c>
      <c r="G81" s="24" t="s">
        <v>129</v>
      </c>
      <c r="H81" s="24" t="s">
        <v>438</v>
      </c>
      <c r="I81" s="24"/>
      <c r="J81" s="35" t="str">
        <f aca="false">IF(I81="Compliant",1,IF(I81="Partial",0.5,IF(I81="Non-Compliant",0,"")))</f>
        <v/>
      </c>
      <c r="K81" s="24"/>
      <c r="L81" s="24"/>
      <c r="M81" s="24" t="str">
        <f aca="false">IF(OR(K81="",L81=""),"",IFERROR(VLOOKUP(K81,'Lists &amp; Calculations'!$F$2:$G$5,2,FALSE())*VLOOKUP(L81,'Lists &amp; Calculations'!$I$2:$J$6,2,FALSE()),""))</f>
        <v/>
      </c>
      <c r="N81" s="24"/>
      <c r="O81" s="24"/>
      <c r="P81" s="24"/>
    </row>
    <row r="82" customFormat="false" ht="28.35" hidden="false" customHeight="false" outlineLevel="0" collapsed="false">
      <c r="B82" s="24" t="s">
        <v>439</v>
      </c>
      <c r="C82" s="24" t="s">
        <v>126</v>
      </c>
      <c r="D82" s="24" t="s">
        <v>75</v>
      </c>
      <c r="E82" s="24" t="s">
        <v>440</v>
      </c>
      <c r="F82" s="24" t="s">
        <v>441</v>
      </c>
      <c r="G82" s="24" t="s">
        <v>129</v>
      </c>
      <c r="H82" s="24" t="s">
        <v>442</v>
      </c>
      <c r="I82" s="24"/>
      <c r="J82" s="35" t="str">
        <f aca="false">IF(I82="Compliant",1,IF(I82="Partial",0.5,IF(I82="Non-Compliant",0,"")))</f>
        <v/>
      </c>
      <c r="K82" s="24"/>
      <c r="L82" s="24"/>
      <c r="M82" s="24" t="str">
        <f aca="false">IF(OR(K82="",L82=""),"",IFERROR(VLOOKUP(K82,'Lists &amp; Calculations'!$F$2:$G$5,2,FALSE())*VLOOKUP(L82,'Lists &amp; Calculations'!$I$2:$J$6,2,FALSE()),""))</f>
        <v/>
      </c>
      <c r="N82" s="24"/>
      <c r="O82" s="24"/>
      <c r="P82" s="24"/>
    </row>
    <row r="83" customFormat="false" ht="28.35" hidden="false" customHeight="false" outlineLevel="0" collapsed="false">
      <c r="B83" s="24" t="s">
        <v>443</v>
      </c>
      <c r="C83" s="24" t="s">
        <v>126</v>
      </c>
      <c r="D83" s="24" t="s">
        <v>75</v>
      </c>
      <c r="E83" s="24" t="s">
        <v>444</v>
      </c>
      <c r="F83" s="24" t="s">
        <v>445</v>
      </c>
      <c r="G83" s="24" t="s">
        <v>138</v>
      </c>
      <c r="H83" s="24" t="s">
        <v>446</v>
      </c>
      <c r="I83" s="24"/>
      <c r="J83" s="35" t="str">
        <f aca="false">IF(I83="Compliant",1,IF(I83="Partial",0.5,IF(I83="Non-Compliant",0,"")))</f>
        <v/>
      </c>
      <c r="K83" s="24"/>
      <c r="L83" s="24"/>
      <c r="M83" s="24" t="str">
        <f aca="false">IF(OR(K83="",L83=""),"",IFERROR(VLOOKUP(K83,'Lists &amp; Calculations'!$F$2:$G$5,2,FALSE())*VLOOKUP(L83,'Lists &amp; Calculations'!$I$2:$J$6,2,FALSE()),""))</f>
        <v/>
      </c>
      <c r="N83" s="24"/>
      <c r="O83" s="24"/>
      <c r="P83" s="24"/>
    </row>
    <row r="84" customFormat="false" ht="28.35" hidden="false" customHeight="false" outlineLevel="0" collapsed="false">
      <c r="B84" s="24" t="s">
        <v>447</v>
      </c>
      <c r="C84" s="24" t="s">
        <v>126</v>
      </c>
      <c r="D84" s="24" t="s">
        <v>75</v>
      </c>
      <c r="E84" s="24" t="s">
        <v>448</v>
      </c>
      <c r="F84" s="24" t="s">
        <v>449</v>
      </c>
      <c r="G84" s="24" t="s">
        <v>129</v>
      </c>
      <c r="H84" s="24" t="s">
        <v>450</v>
      </c>
      <c r="I84" s="24"/>
      <c r="J84" s="35" t="str">
        <f aca="false">IF(I84="Compliant",1,IF(I84="Partial",0.5,IF(I84="Non-Compliant",0,"")))</f>
        <v/>
      </c>
      <c r="K84" s="24"/>
      <c r="L84" s="24"/>
      <c r="M84" s="24" t="str">
        <f aca="false">IF(OR(K84="",L84=""),"",IFERROR(VLOOKUP(K84,'Lists &amp; Calculations'!$F$2:$G$5,2,FALSE())*VLOOKUP(L84,'Lists &amp; Calculations'!$I$2:$J$6,2,FALSE()),""))</f>
        <v/>
      </c>
      <c r="N84" s="24"/>
      <c r="O84" s="24"/>
      <c r="P84" s="24"/>
    </row>
    <row r="85" customFormat="false" ht="28.35" hidden="false" customHeight="false" outlineLevel="0" collapsed="false">
      <c r="B85" s="24" t="s">
        <v>451</v>
      </c>
      <c r="C85" s="24" t="s">
        <v>126</v>
      </c>
      <c r="D85" s="24" t="s">
        <v>75</v>
      </c>
      <c r="E85" s="24" t="s">
        <v>452</v>
      </c>
      <c r="F85" s="24" t="s">
        <v>453</v>
      </c>
      <c r="G85" s="24" t="s">
        <v>129</v>
      </c>
      <c r="H85" s="24" t="s">
        <v>454</v>
      </c>
      <c r="I85" s="24"/>
      <c r="J85" s="35" t="str">
        <f aca="false">IF(I85="Compliant",1,IF(I85="Partial",0.5,IF(I85="Non-Compliant",0,"")))</f>
        <v/>
      </c>
      <c r="K85" s="24"/>
      <c r="L85" s="24"/>
      <c r="M85" s="24" t="str">
        <f aca="false">IF(OR(K85="",L85=""),"",IFERROR(VLOOKUP(K85,'Lists &amp; Calculations'!$F$2:$G$5,2,FALSE())*VLOOKUP(L85,'Lists &amp; Calculations'!$I$2:$J$6,2,FALSE()),""))</f>
        <v/>
      </c>
      <c r="N85" s="24"/>
      <c r="O85" s="24"/>
      <c r="P85" s="24"/>
    </row>
    <row r="86" customFormat="false" ht="28.35" hidden="false" customHeight="false" outlineLevel="0" collapsed="false">
      <c r="B86" s="24" t="s">
        <v>455</v>
      </c>
      <c r="C86" s="24" t="s">
        <v>126</v>
      </c>
      <c r="D86" s="24" t="s">
        <v>75</v>
      </c>
      <c r="E86" s="24" t="s">
        <v>456</v>
      </c>
      <c r="F86" s="24" t="s">
        <v>457</v>
      </c>
      <c r="G86" s="24" t="s">
        <v>129</v>
      </c>
      <c r="H86" s="24" t="s">
        <v>458</v>
      </c>
      <c r="I86" s="24"/>
      <c r="J86" s="35" t="str">
        <f aca="false">IF(I86="Compliant",1,IF(I86="Partial",0.5,IF(I86="Non-Compliant",0,"")))</f>
        <v/>
      </c>
      <c r="K86" s="24"/>
      <c r="L86" s="24"/>
      <c r="M86" s="24" t="str">
        <f aca="false">IF(OR(K86="",L86=""),"",IFERROR(VLOOKUP(K86,'Lists &amp; Calculations'!$F$2:$G$5,2,FALSE())*VLOOKUP(L86,'Lists &amp; Calculations'!$I$2:$J$6,2,FALSE()),""))</f>
        <v/>
      </c>
      <c r="N86" s="24"/>
      <c r="O86" s="24"/>
      <c r="P86" s="24"/>
    </row>
    <row r="87" customFormat="false" ht="28.35" hidden="false" customHeight="false" outlineLevel="0" collapsed="false">
      <c r="B87" s="24" t="s">
        <v>459</v>
      </c>
      <c r="C87" s="24" t="s">
        <v>126</v>
      </c>
      <c r="D87" s="24" t="s">
        <v>75</v>
      </c>
      <c r="E87" s="24" t="s">
        <v>460</v>
      </c>
      <c r="F87" s="24" t="s">
        <v>461</v>
      </c>
      <c r="G87" s="24" t="s">
        <v>129</v>
      </c>
      <c r="H87" s="24" t="s">
        <v>462</v>
      </c>
      <c r="I87" s="24"/>
      <c r="J87" s="35" t="str">
        <f aca="false">IF(I87="Compliant",1,IF(I87="Partial",0.5,IF(I87="Non-Compliant",0,"")))</f>
        <v/>
      </c>
      <c r="K87" s="24"/>
      <c r="L87" s="24"/>
      <c r="M87" s="24" t="str">
        <f aca="false">IF(OR(K87="",L87=""),"",IFERROR(VLOOKUP(K87,'Lists &amp; Calculations'!$F$2:$G$5,2,FALSE())*VLOOKUP(L87,'Lists &amp; Calculations'!$I$2:$J$6,2,FALSE()),""))</f>
        <v/>
      </c>
      <c r="N87" s="24"/>
      <c r="O87" s="24"/>
      <c r="P87" s="24"/>
    </row>
    <row r="88" customFormat="false" ht="28.35" hidden="false" customHeight="false" outlineLevel="0" collapsed="false">
      <c r="B88" s="24" t="s">
        <v>463</v>
      </c>
      <c r="C88" s="24" t="s">
        <v>126</v>
      </c>
      <c r="D88" s="24" t="s">
        <v>75</v>
      </c>
      <c r="E88" s="24" t="s">
        <v>464</v>
      </c>
      <c r="F88" s="24" t="s">
        <v>465</v>
      </c>
      <c r="G88" s="24" t="s">
        <v>129</v>
      </c>
      <c r="H88" s="24" t="s">
        <v>466</v>
      </c>
      <c r="I88" s="24"/>
      <c r="J88" s="35" t="str">
        <f aca="false">IF(I88="Compliant",1,IF(I88="Partial",0.5,IF(I88="Non-Compliant",0,"")))</f>
        <v/>
      </c>
      <c r="K88" s="24"/>
      <c r="L88" s="24"/>
      <c r="M88" s="24" t="str">
        <f aca="false">IF(OR(K88="",L88=""),"",IFERROR(VLOOKUP(K88,'Lists &amp; Calculations'!$F$2:$G$5,2,FALSE())*VLOOKUP(L88,'Lists &amp; Calculations'!$I$2:$J$6,2,FALSE()),""))</f>
        <v/>
      </c>
      <c r="N88" s="24"/>
      <c r="O88" s="24"/>
      <c r="P88" s="24"/>
    </row>
    <row r="89" customFormat="false" ht="28.35" hidden="false" customHeight="false" outlineLevel="0" collapsed="false">
      <c r="B89" s="24" t="s">
        <v>467</v>
      </c>
      <c r="C89" s="24" t="s">
        <v>126</v>
      </c>
      <c r="D89" s="24" t="s">
        <v>76</v>
      </c>
      <c r="E89" s="24" t="s">
        <v>468</v>
      </c>
      <c r="F89" s="24" t="s">
        <v>469</v>
      </c>
      <c r="G89" s="24" t="s">
        <v>470</v>
      </c>
      <c r="H89" s="24" t="s">
        <v>471</v>
      </c>
      <c r="I89" s="24"/>
      <c r="J89" s="35" t="str">
        <f aca="false">IF(I89="Compliant",1,IF(I89="Partial",0.5,IF(I89="Non-Compliant",0,"")))</f>
        <v/>
      </c>
      <c r="K89" s="24"/>
      <c r="L89" s="24"/>
      <c r="M89" s="24" t="str">
        <f aca="false">IF(OR(K89="",L89=""),"",IFERROR(VLOOKUP(K89,'Lists &amp; Calculations'!$F$2:$G$5,2,FALSE())*VLOOKUP(L89,'Lists &amp; Calculations'!$I$2:$J$6,2,FALSE()),""))</f>
        <v/>
      </c>
      <c r="N89" s="24"/>
      <c r="O89" s="24"/>
      <c r="P89" s="24"/>
    </row>
    <row r="90" customFormat="false" ht="28.35" hidden="false" customHeight="false" outlineLevel="0" collapsed="false">
      <c r="B90" s="24" t="s">
        <v>472</v>
      </c>
      <c r="C90" s="24" t="s">
        <v>126</v>
      </c>
      <c r="D90" s="24" t="s">
        <v>76</v>
      </c>
      <c r="E90" s="24" t="s">
        <v>473</v>
      </c>
      <c r="F90" s="24" t="s">
        <v>474</v>
      </c>
      <c r="G90" s="24" t="s">
        <v>475</v>
      </c>
      <c r="H90" s="24" t="s">
        <v>476</v>
      </c>
      <c r="I90" s="24"/>
      <c r="J90" s="35" t="str">
        <f aca="false">IF(I90="Compliant",1,IF(I90="Partial",0.5,IF(I90="Non-Compliant",0,"")))</f>
        <v/>
      </c>
      <c r="K90" s="24"/>
      <c r="L90" s="24"/>
      <c r="M90" s="24" t="str">
        <f aca="false">IF(OR(K90="",L90=""),"",IFERROR(VLOOKUP(K90,'Lists &amp; Calculations'!$F$2:$G$5,2,FALSE())*VLOOKUP(L90,'Lists &amp; Calculations'!$I$2:$J$6,2,FALSE()),""))</f>
        <v/>
      </c>
      <c r="N90" s="24"/>
      <c r="O90" s="24"/>
      <c r="P90" s="24"/>
    </row>
    <row r="91" customFormat="false" ht="28.35" hidden="false" customHeight="false" outlineLevel="0" collapsed="false">
      <c r="B91" s="24" t="s">
        <v>477</v>
      </c>
      <c r="C91" s="24" t="s">
        <v>126</v>
      </c>
      <c r="D91" s="24" t="s">
        <v>76</v>
      </c>
      <c r="E91" s="24" t="s">
        <v>478</v>
      </c>
      <c r="F91" s="24" t="s">
        <v>479</v>
      </c>
      <c r="G91" s="24" t="s">
        <v>480</v>
      </c>
      <c r="H91" s="24" t="s">
        <v>481</v>
      </c>
      <c r="I91" s="24"/>
      <c r="J91" s="35" t="str">
        <f aca="false">IF(I91="Compliant",1,IF(I91="Partial",0.5,IF(I91="Non-Compliant",0,"")))</f>
        <v/>
      </c>
      <c r="K91" s="24"/>
      <c r="L91" s="24"/>
      <c r="M91" s="24" t="str">
        <f aca="false">IF(OR(K91="",L91=""),"",IFERROR(VLOOKUP(K91,'Lists &amp; Calculations'!$F$2:$G$5,2,FALSE())*VLOOKUP(L91,'Lists &amp; Calculations'!$I$2:$J$6,2,FALSE()),""))</f>
        <v/>
      </c>
      <c r="N91" s="24"/>
      <c r="O91" s="24"/>
      <c r="P91" s="24"/>
    </row>
    <row r="92" customFormat="false" ht="28.35" hidden="false" customHeight="false" outlineLevel="0" collapsed="false">
      <c r="B92" s="24" t="s">
        <v>482</v>
      </c>
      <c r="C92" s="24" t="s">
        <v>126</v>
      </c>
      <c r="D92" s="24" t="s">
        <v>76</v>
      </c>
      <c r="E92" s="24" t="s">
        <v>483</v>
      </c>
      <c r="F92" s="24" t="s">
        <v>484</v>
      </c>
      <c r="G92" s="24" t="s">
        <v>485</v>
      </c>
      <c r="H92" s="24" t="s">
        <v>486</v>
      </c>
      <c r="I92" s="24"/>
      <c r="J92" s="35" t="str">
        <f aca="false">IF(I92="Compliant",1,IF(I92="Partial",0.5,IF(I92="Non-Compliant",0,"")))</f>
        <v/>
      </c>
      <c r="K92" s="24"/>
      <c r="L92" s="24"/>
      <c r="M92" s="24" t="str">
        <f aca="false">IF(OR(K92="",L92=""),"",IFERROR(VLOOKUP(K92,'Lists &amp; Calculations'!$F$2:$G$5,2,FALSE())*VLOOKUP(L92,'Lists &amp; Calculations'!$I$2:$J$6,2,FALSE()),""))</f>
        <v/>
      </c>
      <c r="N92" s="24"/>
      <c r="O92" s="24"/>
      <c r="P92" s="24"/>
    </row>
    <row r="93" customFormat="false" ht="28.35" hidden="false" customHeight="false" outlineLevel="0" collapsed="false">
      <c r="B93" s="24" t="s">
        <v>487</v>
      </c>
      <c r="C93" s="24" t="s">
        <v>126</v>
      </c>
      <c r="D93" s="24" t="s">
        <v>76</v>
      </c>
      <c r="E93" s="24" t="s">
        <v>488</v>
      </c>
      <c r="F93" s="24" t="s">
        <v>489</v>
      </c>
      <c r="G93" s="24" t="s">
        <v>485</v>
      </c>
      <c r="H93" s="24" t="s">
        <v>490</v>
      </c>
      <c r="I93" s="24"/>
      <c r="J93" s="35" t="str">
        <f aca="false">IF(I93="Compliant",1,IF(I93="Partial",0.5,IF(I93="Non-Compliant",0,"")))</f>
        <v/>
      </c>
      <c r="K93" s="24"/>
      <c r="L93" s="24"/>
      <c r="M93" s="24" t="str">
        <f aca="false">IF(OR(K93="",L93=""),"",IFERROR(VLOOKUP(K93,'Lists &amp; Calculations'!$F$2:$G$5,2,FALSE())*VLOOKUP(L93,'Lists &amp; Calculations'!$I$2:$J$6,2,FALSE()),""))</f>
        <v/>
      </c>
      <c r="N93" s="24"/>
      <c r="O93" s="24"/>
      <c r="P93" s="24"/>
    </row>
    <row r="94" customFormat="false" ht="28.35" hidden="false" customHeight="false" outlineLevel="0" collapsed="false">
      <c r="B94" s="24" t="s">
        <v>491</v>
      </c>
      <c r="C94" s="24" t="s">
        <v>126</v>
      </c>
      <c r="D94" s="24" t="s">
        <v>76</v>
      </c>
      <c r="E94" s="24" t="s">
        <v>492</v>
      </c>
      <c r="F94" s="24" t="s">
        <v>493</v>
      </c>
      <c r="G94" s="24" t="s">
        <v>475</v>
      </c>
      <c r="H94" s="24" t="s">
        <v>494</v>
      </c>
      <c r="I94" s="24"/>
      <c r="J94" s="35" t="str">
        <f aca="false">IF(I94="Compliant",1,IF(I94="Partial",0.5,IF(I94="Non-Compliant",0,"")))</f>
        <v/>
      </c>
      <c r="K94" s="24"/>
      <c r="L94" s="24"/>
      <c r="M94" s="24" t="str">
        <f aca="false">IF(OR(K94="",L94=""),"",IFERROR(VLOOKUP(K94,'Lists &amp; Calculations'!$F$2:$G$5,2,FALSE())*VLOOKUP(L94,'Lists &amp; Calculations'!$I$2:$J$6,2,FALSE()),""))</f>
        <v/>
      </c>
      <c r="N94" s="24"/>
      <c r="O94" s="24"/>
      <c r="P94" s="24"/>
    </row>
    <row r="95" customFormat="false" ht="28.35" hidden="false" customHeight="false" outlineLevel="0" collapsed="false">
      <c r="B95" s="24" t="s">
        <v>495</v>
      </c>
      <c r="C95" s="24" t="s">
        <v>126</v>
      </c>
      <c r="D95" s="24" t="s">
        <v>76</v>
      </c>
      <c r="E95" s="24" t="s">
        <v>496</v>
      </c>
      <c r="F95" s="24" t="s">
        <v>497</v>
      </c>
      <c r="G95" s="24" t="s">
        <v>475</v>
      </c>
      <c r="H95" s="24" t="s">
        <v>498</v>
      </c>
      <c r="I95" s="24"/>
      <c r="J95" s="35" t="str">
        <f aca="false">IF(I95="Compliant",1,IF(I95="Partial",0.5,IF(I95="Non-Compliant",0,"")))</f>
        <v/>
      </c>
      <c r="K95" s="24"/>
      <c r="L95" s="24"/>
      <c r="M95" s="24" t="str">
        <f aca="false">IF(OR(K95="",L95=""),"",IFERROR(VLOOKUP(K95,'Lists &amp; Calculations'!$F$2:$G$5,2,FALSE())*VLOOKUP(L95,'Lists &amp; Calculations'!$I$2:$J$6,2,FALSE()),""))</f>
        <v/>
      </c>
      <c r="N95" s="24"/>
      <c r="O95" s="24"/>
      <c r="P95" s="24"/>
    </row>
    <row r="96" customFormat="false" ht="28.35" hidden="false" customHeight="false" outlineLevel="0" collapsed="false">
      <c r="B96" s="24" t="s">
        <v>499</v>
      </c>
      <c r="C96" s="24" t="s">
        <v>126</v>
      </c>
      <c r="D96" s="24" t="s">
        <v>500</v>
      </c>
      <c r="E96" s="24" t="s">
        <v>501</v>
      </c>
      <c r="F96" s="24" t="s">
        <v>502</v>
      </c>
      <c r="G96" s="24" t="s">
        <v>129</v>
      </c>
      <c r="H96" s="24" t="s">
        <v>503</v>
      </c>
      <c r="I96" s="24"/>
      <c r="J96" s="35" t="str">
        <f aca="false">IF(I96="Compliant",1,IF(I96="Partial",0.5,IF(I96="Non-Compliant",0,"")))</f>
        <v/>
      </c>
      <c r="K96" s="24"/>
      <c r="L96" s="24"/>
      <c r="M96" s="24" t="str">
        <f aca="false">IF(OR(K96="",L96=""),"",IFERROR(VLOOKUP(K96,'Lists &amp; Calculations'!$F$2:$G$5,2,FALSE())*VLOOKUP(L96,'Lists &amp; Calculations'!$I$2:$J$6,2,FALSE()),""))</f>
        <v/>
      </c>
      <c r="N96" s="24"/>
      <c r="O96" s="24"/>
      <c r="P96" s="24"/>
    </row>
    <row r="97" customFormat="false" ht="28.35" hidden="false" customHeight="false" outlineLevel="0" collapsed="false">
      <c r="B97" s="24" t="s">
        <v>504</v>
      </c>
      <c r="C97" s="24" t="s">
        <v>126</v>
      </c>
      <c r="D97" s="24" t="s">
        <v>500</v>
      </c>
      <c r="E97" s="24" t="s">
        <v>505</v>
      </c>
      <c r="F97" s="24" t="s">
        <v>506</v>
      </c>
      <c r="G97" s="24" t="s">
        <v>138</v>
      </c>
      <c r="H97" s="24" t="s">
        <v>507</v>
      </c>
      <c r="I97" s="24"/>
      <c r="J97" s="35" t="str">
        <f aca="false">IF(I97="Compliant",1,IF(I97="Partial",0.5,IF(I97="Non-Compliant",0,"")))</f>
        <v/>
      </c>
      <c r="K97" s="24"/>
      <c r="L97" s="24"/>
      <c r="M97" s="24" t="str">
        <f aca="false">IF(OR(K97="",L97=""),"",IFERROR(VLOOKUP(K97,'Lists &amp; Calculations'!$F$2:$G$5,2,FALSE())*VLOOKUP(L97,'Lists &amp; Calculations'!$I$2:$J$6,2,FALSE()),""))</f>
        <v/>
      </c>
      <c r="N97" s="24"/>
      <c r="O97" s="24"/>
      <c r="P97" s="24"/>
    </row>
    <row r="98" customFormat="false" ht="28.35" hidden="false" customHeight="false" outlineLevel="0" collapsed="false">
      <c r="B98" s="24" t="s">
        <v>508</v>
      </c>
      <c r="C98" s="24" t="s">
        <v>126</v>
      </c>
      <c r="D98" s="24" t="s">
        <v>500</v>
      </c>
      <c r="E98" s="24" t="s">
        <v>509</v>
      </c>
      <c r="F98" s="24" t="s">
        <v>510</v>
      </c>
      <c r="G98" s="24" t="s">
        <v>138</v>
      </c>
      <c r="H98" s="24" t="s">
        <v>511</v>
      </c>
      <c r="I98" s="24"/>
      <c r="J98" s="35" t="str">
        <f aca="false">IF(I98="Compliant",1,IF(I98="Partial",0.5,IF(I98="Non-Compliant",0,"")))</f>
        <v/>
      </c>
      <c r="K98" s="24"/>
      <c r="L98" s="24"/>
      <c r="M98" s="24" t="str">
        <f aca="false">IF(OR(K98="",L98=""),"",IFERROR(VLOOKUP(K98,'Lists &amp; Calculations'!$F$2:$G$5,2,FALSE())*VLOOKUP(L98,'Lists &amp; Calculations'!$I$2:$J$6,2,FALSE()),""))</f>
        <v/>
      </c>
      <c r="N98" s="24"/>
      <c r="O98" s="24"/>
      <c r="P98" s="24"/>
    </row>
    <row r="99" customFormat="false" ht="28.35" hidden="false" customHeight="false" outlineLevel="0" collapsed="false">
      <c r="B99" s="24" t="s">
        <v>512</v>
      </c>
      <c r="C99" s="24" t="s">
        <v>126</v>
      </c>
      <c r="D99" s="24" t="s">
        <v>500</v>
      </c>
      <c r="E99" s="24" t="s">
        <v>513</v>
      </c>
      <c r="F99" s="24" t="s">
        <v>514</v>
      </c>
      <c r="G99" s="24" t="s">
        <v>138</v>
      </c>
      <c r="H99" s="24" t="s">
        <v>515</v>
      </c>
      <c r="I99" s="24"/>
      <c r="J99" s="35" t="str">
        <f aca="false">IF(I99="Compliant",1,IF(I99="Partial",0.5,IF(I99="Non-Compliant",0,"")))</f>
        <v/>
      </c>
      <c r="K99" s="24"/>
      <c r="L99" s="24"/>
      <c r="M99" s="24" t="str">
        <f aca="false">IF(OR(K99="",L99=""),"",IFERROR(VLOOKUP(K99,'Lists &amp; Calculations'!$F$2:$G$5,2,FALSE())*VLOOKUP(L99,'Lists &amp; Calculations'!$I$2:$J$6,2,FALSE()),""))</f>
        <v/>
      </c>
      <c r="N99" s="24"/>
      <c r="O99" s="24"/>
      <c r="P99" s="24"/>
    </row>
    <row r="100" customFormat="false" ht="28.35" hidden="false" customHeight="false" outlineLevel="0" collapsed="false">
      <c r="B100" s="24" t="s">
        <v>516</v>
      </c>
      <c r="C100" s="24" t="s">
        <v>126</v>
      </c>
      <c r="D100" s="24" t="s">
        <v>500</v>
      </c>
      <c r="E100" s="24" t="s">
        <v>517</v>
      </c>
      <c r="F100" s="24" t="s">
        <v>518</v>
      </c>
      <c r="G100" s="24" t="s">
        <v>138</v>
      </c>
      <c r="H100" s="24" t="s">
        <v>519</v>
      </c>
      <c r="I100" s="24"/>
      <c r="J100" s="35" t="str">
        <f aca="false">IF(I100="Compliant",1,IF(I100="Partial",0.5,IF(I100="Non-Compliant",0,"")))</f>
        <v/>
      </c>
      <c r="K100" s="24"/>
      <c r="L100" s="24"/>
      <c r="M100" s="24" t="str">
        <f aca="false">IF(OR(K100="",L100=""),"",IFERROR(VLOOKUP(K100,'Lists &amp; Calculations'!$F$2:$G$5,2,FALSE())*VLOOKUP(L100,'Lists &amp; Calculations'!$I$2:$J$6,2,FALSE()),""))</f>
        <v/>
      </c>
      <c r="N100" s="24"/>
      <c r="O100" s="24"/>
      <c r="P100" s="24"/>
    </row>
    <row r="101" customFormat="false" ht="28.35" hidden="false" customHeight="false" outlineLevel="0" collapsed="false">
      <c r="B101" s="24" t="s">
        <v>520</v>
      </c>
      <c r="C101" s="24" t="s">
        <v>126</v>
      </c>
      <c r="D101" s="24" t="s">
        <v>500</v>
      </c>
      <c r="E101" s="24" t="s">
        <v>521</v>
      </c>
      <c r="F101" s="24" t="s">
        <v>522</v>
      </c>
      <c r="G101" s="24" t="s">
        <v>138</v>
      </c>
      <c r="H101" s="24" t="s">
        <v>523</v>
      </c>
      <c r="I101" s="24"/>
      <c r="J101" s="35" t="str">
        <f aca="false">IF(I101="Compliant",1,IF(I101="Partial",0.5,IF(I101="Non-Compliant",0,"")))</f>
        <v/>
      </c>
      <c r="K101" s="24"/>
      <c r="L101" s="24"/>
      <c r="M101" s="24" t="str">
        <f aca="false">IF(OR(K101="",L101=""),"",IFERROR(VLOOKUP(K101,'Lists &amp; Calculations'!$F$2:$G$5,2,FALSE())*VLOOKUP(L101,'Lists &amp; Calculations'!$I$2:$J$6,2,FALSE()),""))</f>
        <v/>
      </c>
      <c r="N101" s="24"/>
      <c r="O101" s="24"/>
      <c r="P101" s="24"/>
    </row>
    <row r="102" customFormat="false" ht="28.35" hidden="false" customHeight="false" outlineLevel="0" collapsed="false">
      <c r="B102" s="24" t="s">
        <v>524</v>
      </c>
      <c r="C102" s="24" t="s">
        <v>126</v>
      </c>
      <c r="D102" s="24" t="s">
        <v>525</v>
      </c>
      <c r="E102" s="24" t="s">
        <v>526</v>
      </c>
      <c r="F102" s="24" t="s">
        <v>527</v>
      </c>
      <c r="G102" s="24" t="s">
        <v>138</v>
      </c>
      <c r="H102" s="24" t="s">
        <v>528</v>
      </c>
      <c r="I102" s="24"/>
      <c r="J102" s="35" t="str">
        <f aca="false">IF(I102="Compliant",1,IF(I102="Partial",0.5,IF(I102="Non-Compliant",0,"")))</f>
        <v/>
      </c>
      <c r="K102" s="24"/>
      <c r="L102" s="24"/>
      <c r="M102" s="24" t="str">
        <f aca="false">IF(OR(K102="",L102=""),"",IFERROR(VLOOKUP(K102,'Lists &amp; Calculations'!$F$2:$G$5,2,FALSE())*VLOOKUP(L102,'Lists &amp; Calculations'!$I$2:$J$6,2,FALSE()),""))</f>
        <v/>
      </c>
      <c r="N102" s="24"/>
      <c r="O102" s="24"/>
      <c r="P102" s="24"/>
    </row>
    <row r="103" customFormat="false" ht="28.35" hidden="false" customHeight="false" outlineLevel="0" collapsed="false">
      <c r="B103" s="24" t="s">
        <v>529</v>
      </c>
      <c r="C103" s="24" t="s">
        <v>126</v>
      </c>
      <c r="D103" s="24" t="s">
        <v>525</v>
      </c>
      <c r="E103" s="24" t="s">
        <v>530</v>
      </c>
      <c r="F103" s="24" t="s">
        <v>531</v>
      </c>
      <c r="G103" s="24" t="s">
        <v>138</v>
      </c>
      <c r="H103" s="24" t="s">
        <v>532</v>
      </c>
      <c r="I103" s="24"/>
      <c r="J103" s="35" t="str">
        <f aca="false">IF(I103="Compliant",1,IF(I103="Partial",0.5,IF(I103="Non-Compliant",0,"")))</f>
        <v/>
      </c>
      <c r="K103" s="24"/>
      <c r="L103" s="24"/>
      <c r="M103" s="24" t="str">
        <f aca="false">IF(OR(K103="",L103=""),"",IFERROR(VLOOKUP(K103,'Lists &amp; Calculations'!$F$2:$G$5,2,FALSE())*VLOOKUP(L103,'Lists &amp; Calculations'!$I$2:$J$6,2,FALSE()),""))</f>
        <v/>
      </c>
      <c r="N103" s="24"/>
      <c r="O103" s="24"/>
      <c r="P103" s="24"/>
    </row>
    <row r="104" customFormat="false" ht="28.35" hidden="false" customHeight="false" outlineLevel="0" collapsed="false">
      <c r="B104" s="24" t="s">
        <v>533</v>
      </c>
      <c r="C104" s="24" t="s">
        <v>126</v>
      </c>
      <c r="D104" s="24" t="s">
        <v>525</v>
      </c>
      <c r="E104" s="24" t="s">
        <v>534</v>
      </c>
      <c r="F104" s="24" t="s">
        <v>535</v>
      </c>
      <c r="G104" s="24" t="s">
        <v>138</v>
      </c>
      <c r="H104" s="24" t="s">
        <v>536</v>
      </c>
      <c r="I104" s="24"/>
      <c r="J104" s="35" t="str">
        <f aca="false">IF(I104="Compliant",1,IF(I104="Partial",0.5,IF(I104="Non-Compliant",0,"")))</f>
        <v/>
      </c>
      <c r="K104" s="24"/>
      <c r="L104" s="24"/>
      <c r="M104" s="24" t="str">
        <f aca="false">IF(OR(K104="",L104=""),"",IFERROR(VLOOKUP(K104,'Lists &amp; Calculations'!$F$2:$G$5,2,FALSE())*VLOOKUP(L104,'Lists &amp; Calculations'!$I$2:$J$6,2,FALSE()),""))</f>
        <v/>
      </c>
      <c r="N104" s="24"/>
      <c r="O104" s="24"/>
      <c r="P104" s="24"/>
    </row>
    <row r="105" customFormat="false" ht="28.35" hidden="false" customHeight="false" outlineLevel="0" collapsed="false">
      <c r="B105" s="24" t="s">
        <v>537</v>
      </c>
      <c r="C105" s="24" t="s">
        <v>126</v>
      </c>
      <c r="D105" s="24" t="s">
        <v>525</v>
      </c>
      <c r="E105" s="24" t="s">
        <v>538</v>
      </c>
      <c r="F105" s="24" t="s">
        <v>539</v>
      </c>
      <c r="G105" s="24" t="s">
        <v>138</v>
      </c>
      <c r="H105" s="24" t="s">
        <v>540</v>
      </c>
      <c r="I105" s="24"/>
      <c r="J105" s="35" t="str">
        <f aca="false">IF(I105="Compliant",1,IF(I105="Partial",0.5,IF(I105="Non-Compliant",0,"")))</f>
        <v/>
      </c>
      <c r="K105" s="24"/>
      <c r="L105" s="24"/>
      <c r="M105" s="24" t="str">
        <f aca="false">IF(OR(K105="",L105=""),"",IFERROR(VLOOKUP(K105,'Lists &amp; Calculations'!$F$2:$G$5,2,FALSE())*VLOOKUP(L105,'Lists &amp; Calculations'!$I$2:$J$6,2,FALSE()),""))</f>
        <v/>
      </c>
      <c r="N105" s="24"/>
      <c r="O105" s="24"/>
      <c r="P105" s="24"/>
    </row>
    <row r="106" customFormat="false" ht="28.35" hidden="false" customHeight="false" outlineLevel="0" collapsed="false">
      <c r="B106" s="24" t="s">
        <v>541</v>
      </c>
      <c r="C106" s="24" t="s">
        <v>126</v>
      </c>
      <c r="D106" s="24" t="s">
        <v>525</v>
      </c>
      <c r="E106" s="24" t="s">
        <v>542</v>
      </c>
      <c r="F106" s="24" t="s">
        <v>543</v>
      </c>
      <c r="G106" s="24" t="s">
        <v>138</v>
      </c>
      <c r="H106" s="24" t="s">
        <v>544</v>
      </c>
      <c r="I106" s="24"/>
      <c r="J106" s="35" t="str">
        <f aca="false">IF(I106="Compliant",1,IF(I106="Partial",0.5,IF(I106="Non-Compliant",0,"")))</f>
        <v/>
      </c>
      <c r="K106" s="24"/>
      <c r="L106" s="24"/>
      <c r="M106" s="24" t="str">
        <f aca="false">IF(OR(K106="",L106=""),"",IFERROR(VLOOKUP(K106,'Lists &amp; Calculations'!$F$2:$G$5,2,FALSE())*VLOOKUP(L106,'Lists &amp; Calculations'!$I$2:$J$6,2,FALSE()),""))</f>
        <v/>
      </c>
      <c r="N106" s="24"/>
      <c r="O106" s="24"/>
      <c r="P106" s="24"/>
    </row>
    <row r="107" customFormat="false" ht="28.35" hidden="false" customHeight="false" outlineLevel="0" collapsed="false">
      <c r="B107" s="24" t="s">
        <v>545</v>
      </c>
      <c r="C107" s="24" t="s">
        <v>126</v>
      </c>
      <c r="D107" s="24" t="s">
        <v>525</v>
      </c>
      <c r="E107" s="24" t="s">
        <v>546</v>
      </c>
      <c r="F107" s="24" t="s">
        <v>547</v>
      </c>
      <c r="G107" s="24" t="s">
        <v>129</v>
      </c>
      <c r="H107" s="24" t="s">
        <v>548</v>
      </c>
      <c r="I107" s="24"/>
      <c r="J107" s="35" t="str">
        <f aca="false">IF(I107="Compliant",1,IF(I107="Partial",0.5,IF(I107="Non-Compliant",0,"")))</f>
        <v/>
      </c>
      <c r="K107" s="24"/>
      <c r="L107" s="24"/>
      <c r="M107" s="24" t="str">
        <f aca="false">IF(OR(K107="",L107=""),"",IFERROR(VLOOKUP(K107,'Lists &amp; Calculations'!$F$2:$G$5,2,FALSE())*VLOOKUP(L107,'Lists &amp; Calculations'!$I$2:$J$6,2,FALSE()),""))</f>
        <v/>
      </c>
      <c r="N107" s="24"/>
      <c r="O107" s="24"/>
      <c r="P107" s="24"/>
    </row>
    <row r="108" customFormat="false" ht="28.35" hidden="false" customHeight="false" outlineLevel="0" collapsed="false">
      <c r="B108" s="24" t="s">
        <v>549</v>
      </c>
      <c r="C108" s="24" t="s">
        <v>126</v>
      </c>
      <c r="D108" s="24" t="s">
        <v>550</v>
      </c>
      <c r="E108" s="24" t="s">
        <v>551</v>
      </c>
      <c r="F108" s="24" t="s">
        <v>552</v>
      </c>
      <c r="G108" s="24" t="s">
        <v>138</v>
      </c>
      <c r="H108" s="24" t="s">
        <v>553</v>
      </c>
      <c r="I108" s="24"/>
      <c r="J108" s="35" t="str">
        <f aca="false">IF(I108="Compliant",1,IF(I108="Partial",0.5,IF(I108="Non-Compliant",0,"")))</f>
        <v/>
      </c>
      <c r="K108" s="24"/>
      <c r="L108" s="24"/>
      <c r="M108" s="24" t="str">
        <f aca="false">IF(OR(K108="",L108=""),"",IFERROR(VLOOKUP(K108,'Lists &amp; Calculations'!$F$2:$G$5,2,FALSE())*VLOOKUP(L108,'Lists &amp; Calculations'!$I$2:$J$6,2,FALSE()),""))</f>
        <v/>
      </c>
      <c r="N108" s="24"/>
      <c r="O108" s="24"/>
      <c r="P108" s="24"/>
    </row>
    <row r="109" customFormat="false" ht="28.35" hidden="false" customHeight="false" outlineLevel="0" collapsed="false">
      <c r="B109" s="24" t="s">
        <v>554</v>
      </c>
      <c r="C109" s="24" t="s">
        <v>126</v>
      </c>
      <c r="D109" s="24" t="s">
        <v>550</v>
      </c>
      <c r="E109" s="24" t="s">
        <v>555</v>
      </c>
      <c r="F109" s="24" t="s">
        <v>556</v>
      </c>
      <c r="G109" s="24" t="s">
        <v>138</v>
      </c>
      <c r="H109" s="24" t="s">
        <v>557</v>
      </c>
      <c r="I109" s="24"/>
      <c r="J109" s="35" t="str">
        <f aca="false">IF(I109="Compliant",1,IF(I109="Partial",0.5,IF(I109="Non-Compliant",0,"")))</f>
        <v/>
      </c>
      <c r="K109" s="24"/>
      <c r="L109" s="24"/>
      <c r="M109" s="24" t="str">
        <f aca="false">IF(OR(K109="",L109=""),"",IFERROR(VLOOKUP(K109,'Lists &amp; Calculations'!$F$2:$G$5,2,FALSE())*VLOOKUP(L109,'Lists &amp; Calculations'!$I$2:$J$6,2,FALSE()),""))</f>
        <v/>
      </c>
      <c r="N109" s="24"/>
      <c r="O109" s="24"/>
      <c r="P109" s="24"/>
    </row>
    <row r="110" customFormat="false" ht="41.75" hidden="false" customHeight="false" outlineLevel="0" collapsed="false">
      <c r="B110" s="24" t="s">
        <v>558</v>
      </c>
      <c r="C110" s="24" t="s">
        <v>126</v>
      </c>
      <c r="D110" s="24" t="s">
        <v>550</v>
      </c>
      <c r="E110" s="24" t="s">
        <v>559</v>
      </c>
      <c r="F110" s="24" t="s">
        <v>560</v>
      </c>
      <c r="G110" s="24" t="s">
        <v>138</v>
      </c>
      <c r="H110" s="24" t="s">
        <v>561</v>
      </c>
      <c r="I110" s="24"/>
      <c r="J110" s="35" t="str">
        <f aca="false">IF(I110="Compliant",1,IF(I110="Partial",0.5,IF(I110="Non-Compliant",0,"")))</f>
        <v/>
      </c>
      <c r="K110" s="24"/>
      <c r="L110" s="24"/>
      <c r="M110" s="24" t="str">
        <f aca="false">IF(OR(K110="",L110=""),"",IFERROR(VLOOKUP(K110,'Lists &amp; Calculations'!$F$2:$G$5,2,FALSE())*VLOOKUP(L110,'Lists &amp; Calculations'!$I$2:$J$6,2,FALSE()),""))</f>
        <v/>
      </c>
      <c r="N110" s="24"/>
      <c r="O110" s="24"/>
      <c r="P110" s="24"/>
    </row>
    <row r="111" customFormat="false" ht="28.35" hidden="false" customHeight="false" outlineLevel="0" collapsed="false">
      <c r="B111" s="24" t="s">
        <v>562</v>
      </c>
      <c r="C111" s="24" t="s">
        <v>126</v>
      </c>
      <c r="D111" s="24" t="s">
        <v>550</v>
      </c>
      <c r="E111" s="24" t="s">
        <v>563</v>
      </c>
      <c r="F111" s="24" t="s">
        <v>564</v>
      </c>
      <c r="G111" s="24" t="s">
        <v>138</v>
      </c>
      <c r="H111" s="24" t="s">
        <v>565</v>
      </c>
      <c r="I111" s="24"/>
      <c r="J111" s="35" t="str">
        <f aca="false">IF(I111="Compliant",1,IF(I111="Partial",0.5,IF(I111="Non-Compliant",0,"")))</f>
        <v/>
      </c>
      <c r="K111" s="24"/>
      <c r="L111" s="24"/>
      <c r="M111" s="24" t="str">
        <f aca="false">IF(OR(K111="",L111=""),"",IFERROR(VLOOKUP(K111,'Lists &amp; Calculations'!$F$2:$G$5,2,FALSE())*VLOOKUP(L111,'Lists &amp; Calculations'!$I$2:$J$6,2,FALSE()),""))</f>
        <v/>
      </c>
      <c r="N111" s="24"/>
      <c r="O111" s="24"/>
      <c r="P111" s="24"/>
    </row>
    <row r="112" customFormat="false" ht="41.75" hidden="false" customHeight="false" outlineLevel="0" collapsed="false">
      <c r="B112" s="24" t="s">
        <v>566</v>
      </c>
      <c r="C112" s="24" t="s">
        <v>126</v>
      </c>
      <c r="D112" s="24" t="s">
        <v>550</v>
      </c>
      <c r="E112" s="24" t="s">
        <v>567</v>
      </c>
      <c r="F112" s="24" t="s">
        <v>568</v>
      </c>
      <c r="G112" s="24" t="s">
        <v>138</v>
      </c>
      <c r="H112" s="24" t="s">
        <v>569</v>
      </c>
      <c r="I112" s="24"/>
      <c r="J112" s="35" t="str">
        <f aca="false">IF(I112="Compliant",1,IF(I112="Partial",0.5,IF(I112="Non-Compliant",0,"")))</f>
        <v/>
      </c>
      <c r="K112" s="24"/>
      <c r="L112" s="24"/>
      <c r="M112" s="24" t="str">
        <f aca="false">IF(OR(K112="",L112=""),"",IFERROR(VLOOKUP(K112,'Lists &amp; Calculations'!$F$2:$G$5,2,FALSE())*VLOOKUP(L112,'Lists &amp; Calculations'!$I$2:$J$6,2,FALSE()),""))</f>
        <v/>
      </c>
      <c r="N112" s="24"/>
      <c r="O112" s="24"/>
      <c r="P112" s="24"/>
    </row>
    <row r="113" customFormat="false" ht="28.35" hidden="false" customHeight="false" outlineLevel="0" collapsed="false">
      <c r="B113" s="24" t="s">
        <v>570</v>
      </c>
      <c r="C113" s="24" t="s">
        <v>126</v>
      </c>
      <c r="D113" s="24" t="s">
        <v>571</v>
      </c>
      <c r="E113" s="24" t="s">
        <v>572</v>
      </c>
      <c r="F113" s="24" t="s">
        <v>573</v>
      </c>
      <c r="G113" s="24" t="s">
        <v>129</v>
      </c>
      <c r="H113" s="24" t="s">
        <v>574</v>
      </c>
      <c r="I113" s="24"/>
      <c r="J113" s="35" t="str">
        <f aca="false">IF(I113="Compliant",1,IF(I113="Partial",0.5,IF(I113="Non-Compliant",0,"")))</f>
        <v/>
      </c>
      <c r="K113" s="24"/>
      <c r="L113" s="24"/>
      <c r="M113" s="24" t="str">
        <f aca="false">IF(OR(K113="",L113=""),"",IFERROR(VLOOKUP(K113,'Lists &amp; Calculations'!$F$2:$G$5,2,FALSE())*VLOOKUP(L113,'Lists &amp; Calculations'!$I$2:$J$6,2,FALSE()),""))</f>
        <v/>
      </c>
      <c r="N113" s="24"/>
      <c r="O113" s="24"/>
      <c r="P113" s="24"/>
    </row>
    <row r="114" customFormat="false" ht="28.35" hidden="false" customHeight="false" outlineLevel="0" collapsed="false">
      <c r="B114" s="24" t="s">
        <v>575</v>
      </c>
      <c r="C114" s="24" t="s">
        <v>126</v>
      </c>
      <c r="D114" s="24" t="s">
        <v>571</v>
      </c>
      <c r="E114" s="24" t="s">
        <v>576</v>
      </c>
      <c r="F114" s="24" t="s">
        <v>577</v>
      </c>
      <c r="G114" s="24" t="s">
        <v>138</v>
      </c>
      <c r="H114" s="24" t="s">
        <v>578</v>
      </c>
      <c r="I114" s="24"/>
      <c r="J114" s="35" t="str">
        <f aca="false">IF(I114="Compliant",1,IF(I114="Partial",0.5,IF(I114="Non-Compliant",0,"")))</f>
        <v/>
      </c>
      <c r="K114" s="24"/>
      <c r="L114" s="24"/>
      <c r="M114" s="24" t="str">
        <f aca="false">IF(OR(K114="",L114=""),"",IFERROR(VLOOKUP(K114,'Lists &amp; Calculations'!$F$2:$G$5,2,FALSE())*VLOOKUP(L114,'Lists &amp; Calculations'!$I$2:$J$6,2,FALSE()),""))</f>
        <v/>
      </c>
      <c r="N114" s="24"/>
      <c r="O114" s="24"/>
      <c r="P114" s="24"/>
    </row>
    <row r="115" customFormat="false" ht="28.35" hidden="false" customHeight="false" outlineLevel="0" collapsed="false">
      <c r="B115" s="24" t="s">
        <v>579</v>
      </c>
      <c r="C115" s="24" t="s">
        <v>126</v>
      </c>
      <c r="D115" s="24" t="s">
        <v>571</v>
      </c>
      <c r="E115" s="24" t="s">
        <v>580</v>
      </c>
      <c r="F115" s="24" t="s">
        <v>581</v>
      </c>
      <c r="G115" s="24" t="s">
        <v>129</v>
      </c>
      <c r="H115" s="24" t="s">
        <v>582</v>
      </c>
      <c r="I115" s="24"/>
      <c r="J115" s="35" t="str">
        <f aca="false">IF(I115="Compliant",1,IF(I115="Partial",0.5,IF(I115="Non-Compliant",0,"")))</f>
        <v/>
      </c>
      <c r="K115" s="24"/>
      <c r="L115" s="24"/>
      <c r="M115" s="24" t="str">
        <f aca="false">IF(OR(K115="",L115=""),"",IFERROR(VLOOKUP(K115,'Lists &amp; Calculations'!$F$2:$G$5,2,FALSE())*VLOOKUP(L115,'Lists &amp; Calculations'!$I$2:$J$6,2,FALSE()),""))</f>
        <v/>
      </c>
      <c r="N115" s="24"/>
      <c r="O115" s="24"/>
      <c r="P115" s="24"/>
    </row>
    <row r="116" customFormat="false" ht="28.35" hidden="false" customHeight="false" outlineLevel="0" collapsed="false">
      <c r="B116" s="24" t="s">
        <v>583</v>
      </c>
      <c r="C116" s="24" t="s">
        <v>126</v>
      </c>
      <c r="D116" s="24" t="s">
        <v>571</v>
      </c>
      <c r="E116" s="24" t="s">
        <v>584</v>
      </c>
      <c r="F116" s="24" t="s">
        <v>585</v>
      </c>
      <c r="G116" s="24" t="s">
        <v>129</v>
      </c>
      <c r="H116" s="24" t="s">
        <v>586</v>
      </c>
      <c r="I116" s="24"/>
      <c r="J116" s="35" t="str">
        <f aca="false">IF(I116="Compliant",1,IF(I116="Partial",0.5,IF(I116="Non-Compliant",0,"")))</f>
        <v/>
      </c>
      <c r="K116" s="24"/>
      <c r="L116" s="24"/>
      <c r="M116" s="24" t="str">
        <f aca="false">IF(OR(K116="",L116=""),"",IFERROR(VLOOKUP(K116,'Lists &amp; Calculations'!$F$2:$G$5,2,FALSE())*VLOOKUP(L116,'Lists &amp; Calculations'!$I$2:$J$6,2,FALSE()),""))</f>
        <v/>
      </c>
      <c r="N116" s="24"/>
      <c r="O116" s="24"/>
      <c r="P116" s="24"/>
    </row>
    <row r="117" customFormat="false" ht="28.35" hidden="false" customHeight="false" outlineLevel="0" collapsed="false">
      <c r="B117" s="24" t="s">
        <v>587</v>
      </c>
      <c r="C117" s="24" t="s">
        <v>126</v>
      </c>
      <c r="D117" s="24" t="s">
        <v>571</v>
      </c>
      <c r="E117" s="24" t="s">
        <v>588</v>
      </c>
      <c r="F117" s="24" t="s">
        <v>589</v>
      </c>
      <c r="G117" s="24" t="s">
        <v>138</v>
      </c>
      <c r="H117" s="24" t="s">
        <v>590</v>
      </c>
      <c r="I117" s="24"/>
      <c r="J117" s="35" t="str">
        <f aca="false">IF(I117="Compliant",1,IF(I117="Partial",0.5,IF(I117="Non-Compliant",0,"")))</f>
        <v/>
      </c>
      <c r="K117" s="24"/>
      <c r="L117" s="24"/>
      <c r="M117" s="24" t="str">
        <f aca="false">IF(OR(K117="",L117=""),"",IFERROR(VLOOKUP(K117,'Lists &amp; Calculations'!$F$2:$G$5,2,FALSE())*VLOOKUP(L117,'Lists &amp; Calculations'!$I$2:$J$6,2,FALSE()),""))</f>
        <v/>
      </c>
      <c r="N117" s="24"/>
      <c r="O117" s="24"/>
      <c r="P117" s="24"/>
    </row>
    <row r="118" customFormat="false" ht="15" hidden="false" customHeight="false" outlineLevel="0" collapsed="false">
      <c r="B118" s="24" t="s">
        <v>591</v>
      </c>
      <c r="C118" s="24" t="s">
        <v>126</v>
      </c>
      <c r="D118" s="24" t="s">
        <v>592</v>
      </c>
      <c r="E118" s="24" t="s">
        <v>593</v>
      </c>
      <c r="F118" s="24" t="s">
        <v>594</v>
      </c>
      <c r="G118" s="24" t="s">
        <v>138</v>
      </c>
      <c r="H118" s="24" t="s">
        <v>595</v>
      </c>
      <c r="I118" s="24"/>
      <c r="J118" s="35" t="str">
        <f aca="false">IF(I118="Compliant",1,IF(I118="Partial",0.5,IF(I118="Non-Compliant",0,"")))</f>
        <v/>
      </c>
      <c r="K118" s="24"/>
      <c r="L118" s="24"/>
      <c r="M118" s="24" t="str">
        <f aca="false">IF(OR(K118="",L118=""),"",IFERROR(VLOOKUP(K118,'Lists &amp; Calculations'!$F$2:$G$5,2,FALSE())*VLOOKUP(L118,'Lists &amp; Calculations'!$I$2:$J$6,2,FALSE()),""))</f>
        <v/>
      </c>
      <c r="N118" s="24"/>
      <c r="O118" s="24"/>
      <c r="P118" s="24"/>
    </row>
    <row r="119" customFormat="false" ht="28.35" hidden="false" customHeight="false" outlineLevel="0" collapsed="false">
      <c r="B119" s="24" t="s">
        <v>596</v>
      </c>
      <c r="C119" s="24" t="s">
        <v>126</v>
      </c>
      <c r="D119" s="24" t="s">
        <v>592</v>
      </c>
      <c r="E119" s="24" t="s">
        <v>597</v>
      </c>
      <c r="F119" s="24" t="s">
        <v>598</v>
      </c>
      <c r="G119" s="24" t="s">
        <v>138</v>
      </c>
      <c r="H119" s="24" t="s">
        <v>599</v>
      </c>
      <c r="I119" s="24"/>
      <c r="J119" s="35" t="str">
        <f aca="false">IF(I119="Compliant",1,IF(I119="Partial",0.5,IF(I119="Non-Compliant",0,"")))</f>
        <v/>
      </c>
      <c r="K119" s="24"/>
      <c r="L119" s="24"/>
      <c r="M119" s="24" t="str">
        <f aca="false">IF(OR(K119="",L119=""),"",IFERROR(VLOOKUP(K119,'Lists &amp; Calculations'!$F$2:$G$5,2,FALSE())*VLOOKUP(L119,'Lists &amp; Calculations'!$I$2:$J$6,2,FALSE()),""))</f>
        <v/>
      </c>
      <c r="N119" s="24"/>
      <c r="O119" s="24"/>
      <c r="P119" s="24"/>
    </row>
    <row r="120" customFormat="false" ht="28.35" hidden="false" customHeight="false" outlineLevel="0" collapsed="false">
      <c r="B120" s="24" t="s">
        <v>600</v>
      </c>
      <c r="C120" s="24" t="s">
        <v>126</v>
      </c>
      <c r="D120" s="24" t="s">
        <v>592</v>
      </c>
      <c r="E120" s="24" t="s">
        <v>601</v>
      </c>
      <c r="F120" s="24" t="s">
        <v>602</v>
      </c>
      <c r="G120" s="24" t="s">
        <v>138</v>
      </c>
      <c r="H120" s="24" t="s">
        <v>603</v>
      </c>
      <c r="I120" s="24"/>
      <c r="J120" s="35" t="str">
        <f aca="false">IF(I120="Compliant",1,IF(I120="Partial",0.5,IF(I120="Non-Compliant",0,"")))</f>
        <v/>
      </c>
      <c r="K120" s="24"/>
      <c r="L120" s="24"/>
      <c r="M120" s="24" t="str">
        <f aca="false">IF(OR(K120="",L120=""),"",IFERROR(VLOOKUP(K120,'Lists &amp; Calculations'!$F$2:$G$5,2,FALSE())*VLOOKUP(L120,'Lists &amp; Calculations'!$I$2:$J$6,2,FALSE()),""))</f>
        <v/>
      </c>
      <c r="N120" s="24"/>
      <c r="O120" s="24"/>
      <c r="P120" s="24"/>
    </row>
    <row r="121" customFormat="false" ht="28.35" hidden="false" customHeight="false" outlineLevel="0" collapsed="false">
      <c r="B121" s="24" t="s">
        <v>604</v>
      </c>
      <c r="C121" s="24" t="s">
        <v>126</v>
      </c>
      <c r="D121" s="24" t="s">
        <v>592</v>
      </c>
      <c r="E121" s="24" t="s">
        <v>605</v>
      </c>
      <c r="F121" s="24" t="s">
        <v>606</v>
      </c>
      <c r="G121" s="24" t="s">
        <v>138</v>
      </c>
      <c r="H121" s="24" t="s">
        <v>607</v>
      </c>
      <c r="I121" s="24"/>
      <c r="J121" s="35" t="str">
        <f aca="false">IF(I121="Compliant",1,IF(I121="Partial",0.5,IF(I121="Non-Compliant",0,"")))</f>
        <v/>
      </c>
      <c r="K121" s="24"/>
      <c r="L121" s="24"/>
      <c r="M121" s="24" t="str">
        <f aca="false">IF(OR(K121="",L121=""),"",IFERROR(VLOOKUP(K121,'Lists &amp; Calculations'!$F$2:$G$5,2,FALSE())*VLOOKUP(L121,'Lists &amp; Calculations'!$I$2:$J$6,2,FALSE()),""))</f>
        <v/>
      </c>
      <c r="N121" s="24"/>
      <c r="O121" s="24"/>
      <c r="P121" s="24"/>
    </row>
    <row r="122" customFormat="false" ht="28.35" hidden="false" customHeight="false" outlineLevel="0" collapsed="false">
      <c r="B122" s="24" t="s">
        <v>608</v>
      </c>
      <c r="C122" s="24" t="s">
        <v>126</v>
      </c>
      <c r="D122" s="24" t="s">
        <v>592</v>
      </c>
      <c r="E122" s="24" t="s">
        <v>609</v>
      </c>
      <c r="F122" s="24" t="s">
        <v>610</v>
      </c>
      <c r="G122" s="24" t="s">
        <v>138</v>
      </c>
      <c r="H122" s="24" t="s">
        <v>611</v>
      </c>
      <c r="I122" s="24"/>
      <c r="J122" s="35" t="str">
        <f aca="false">IF(I122="Compliant",1,IF(I122="Partial",0.5,IF(I122="Non-Compliant",0,"")))</f>
        <v/>
      </c>
      <c r="K122" s="24"/>
      <c r="L122" s="24"/>
      <c r="M122" s="24" t="str">
        <f aca="false">IF(OR(K122="",L122=""),"",IFERROR(VLOOKUP(K122,'Lists &amp; Calculations'!$F$2:$G$5,2,FALSE())*VLOOKUP(L122,'Lists &amp; Calculations'!$I$2:$J$6,2,FALSE()),""))</f>
        <v/>
      </c>
      <c r="N122" s="24"/>
      <c r="O122" s="24"/>
      <c r="P122" s="24"/>
    </row>
    <row r="123" customFormat="false" ht="28.35" hidden="false" customHeight="false" outlineLevel="0" collapsed="false">
      <c r="B123" s="24" t="s">
        <v>612</v>
      </c>
      <c r="C123" s="24" t="s">
        <v>126</v>
      </c>
      <c r="D123" s="24" t="s">
        <v>613</v>
      </c>
      <c r="E123" s="24" t="s">
        <v>614</v>
      </c>
      <c r="F123" s="24" t="s">
        <v>615</v>
      </c>
      <c r="G123" s="24" t="s">
        <v>138</v>
      </c>
      <c r="H123" s="24" t="s">
        <v>616</v>
      </c>
      <c r="I123" s="24"/>
      <c r="J123" s="35" t="str">
        <f aca="false">IF(I123="Compliant",1,IF(I123="Partial",0.5,IF(I123="Non-Compliant",0,"")))</f>
        <v/>
      </c>
      <c r="K123" s="24"/>
      <c r="L123" s="24"/>
      <c r="M123" s="24" t="str">
        <f aca="false">IF(OR(K123="",L123=""),"",IFERROR(VLOOKUP(K123,'Lists &amp; Calculations'!$F$2:$G$5,2,FALSE())*VLOOKUP(L123,'Lists &amp; Calculations'!$I$2:$J$6,2,FALSE()),""))</f>
        <v/>
      </c>
      <c r="N123" s="24"/>
      <c r="O123" s="24"/>
      <c r="P123" s="24"/>
    </row>
    <row r="124" customFormat="false" ht="28.35" hidden="false" customHeight="false" outlineLevel="0" collapsed="false">
      <c r="B124" s="24" t="s">
        <v>617</v>
      </c>
      <c r="C124" s="24" t="s">
        <v>126</v>
      </c>
      <c r="D124" s="24" t="s">
        <v>613</v>
      </c>
      <c r="E124" s="24" t="s">
        <v>618</v>
      </c>
      <c r="F124" s="24" t="s">
        <v>619</v>
      </c>
      <c r="G124" s="24" t="s">
        <v>129</v>
      </c>
      <c r="H124" s="24" t="s">
        <v>418</v>
      </c>
      <c r="I124" s="24"/>
      <c r="J124" s="35" t="str">
        <f aca="false">IF(I124="Compliant",1,IF(I124="Partial",0.5,IF(I124="Non-Compliant",0,"")))</f>
        <v/>
      </c>
      <c r="K124" s="24"/>
      <c r="L124" s="24"/>
      <c r="M124" s="24" t="str">
        <f aca="false">IF(OR(K124="",L124=""),"",IFERROR(VLOOKUP(K124,'Lists &amp; Calculations'!$F$2:$G$5,2,FALSE())*VLOOKUP(L124,'Lists &amp; Calculations'!$I$2:$J$6,2,FALSE()),""))</f>
        <v/>
      </c>
      <c r="N124" s="24"/>
      <c r="O124" s="24"/>
      <c r="P124" s="24"/>
    </row>
    <row r="125" customFormat="false" ht="28.35" hidden="false" customHeight="false" outlineLevel="0" collapsed="false">
      <c r="B125" s="24" t="s">
        <v>620</v>
      </c>
      <c r="C125" s="24" t="s">
        <v>126</v>
      </c>
      <c r="D125" s="24" t="s">
        <v>613</v>
      </c>
      <c r="E125" s="24" t="s">
        <v>621</v>
      </c>
      <c r="F125" s="24" t="s">
        <v>622</v>
      </c>
      <c r="G125" s="24" t="s">
        <v>138</v>
      </c>
      <c r="H125" s="24" t="s">
        <v>623</v>
      </c>
      <c r="I125" s="24"/>
      <c r="J125" s="35" t="str">
        <f aca="false">IF(I125="Compliant",1,IF(I125="Partial",0.5,IF(I125="Non-Compliant",0,"")))</f>
        <v/>
      </c>
      <c r="K125" s="24"/>
      <c r="L125" s="24"/>
      <c r="M125" s="24" t="str">
        <f aca="false">IF(OR(K125="",L125=""),"",IFERROR(VLOOKUP(K125,'Lists &amp; Calculations'!$F$2:$G$5,2,FALSE())*VLOOKUP(L125,'Lists &amp; Calculations'!$I$2:$J$6,2,FALSE()),""))</f>
        <v/>
      </c>
      <c r="N125" s="24"/>
      <c r="O125" s="24"/>
      <c r="P125" s="24"/>
    </row>
    <row r="126" customFormat="false" ht="28.35" hidden="false" customHeight="false" outlineLevel="0" collapsed="false">
      <c r="B126" s="24" t="s">
        <v>624</v>
      </c>
      <c r="C126" s="24" t="s">
        <v>126</v>
      </c>
      <c r="D126" s="24" t="s">
        <v>613</v>
      </c>
      <c r="E126" s="24" t="s">
        <v>625</v>
      </c>
      <c r="F126" s="24" t="s">
        <v>626</v>
      </c>
      <c r="G126" s="24" t="s">
        <v>138</v>
      </c>
      <c r="H126" s="24" t="s">
        <v>627</v>
      </c>
      <c r="I126" s="24"/>
      <c r="J126" s="35" t="str">
        <f aca="false">IF(I126="Compliant",1,IF(I126="Partial",0.5,IF(I126="Non-Compliant",0,"")))</f>
        <v/>
      </c>
      <c r="K126" s="24"/>
      <c r="L126" s="24"/>
      <c r="M126" s="24" t="str">
        <f aca="false">IF(OR(K126="",L126=""),"",IFERROR(VLOOKUP(K126,'Lists &amp; Calculations'!$F$2:$G$5,2,FALSE())*VLOOKUP(L126,'Lists &amp; Calculations'!$I$2:$J$6,2,FALSE()),""))</f>
        <v/>
      </c>
      <c r="N126" s="24"/>
      <c r="O126" s="24"/>
      <c r="P126" s="24"/>
    </row>
    <row r="127" customFormat="false" ht="28.35" hidden="false" customHeight="false" outlineLevel="0" collapsed="false">
      <c r="B127" s="24" t="s">
        <v>628</v>
      </c>
      <c r="C127" s="24" t="s">
        <v>126</v>
      </c>
      <c r="D127" s="24" t="s">
        <v>613</v>
      </c>
      <c r="E127" s="24" t="s">
        <v>629</v>
      </c>
      <c r="F127" s="24" t="s">
        <v>630</v>
      </c>
      <c r="G127" s="24" t="s">
        <v>138</v>
      </c>
      <c r="H127" s="24" t="s">
        <v>631</v>
      </c>
      <c r="I127" s="24"/>
      <c r="J127" s="35" t="str">
        <f aca="false">IF(I127="Compliant",1,IF(I127="Partial",0.5,IF(I127="Non-Compliant",0,"")))</f>
        <v/>
      </c>
      <c r="K127" s="24"/>
      <c r="L127" s="24"/>
      <c r="M127" s="24" t="str">
        <f aca="false">IF(OR(K127="",L127=""),"",IFERROR(VLOOKUP(K127,'Lists &amp; Calculations'!$F$2:$G$5,2,FALSE())*VLOOKUP(L127,'Lists &amp; Calculations'!$I$2:$J$6,2,FALSE()),""))</f>
        <v/>
      </c>
      <c r="N127" s="24"/>
      <c r="O127" s="24"/>
      <c r="P127" s="24"/>
    </row>
    <row r="128" customFormat="false" ht="41.75" hidden="false" customHeight="false" outlineLevel="0" collapsed="false">
      <c r="B128" s="24" t="s">
        <v>632</v>
      </c>
      <c r="C128" s="24" t="s">
        <v>126</v>
      </c>
      <c r="D128" s="24" t="s">
        <v>633</v>
      </c>
      <c r="E128" s="24" t="s">
        <v>634</v>
      </c>
      <c r="F128" s="24" t="s">
        <v>635</v>
      </c>
      <c r="G128" s="24" t="s">
        <v>129</v>
      </c>
      <c r="H128" s="24" t="s">
        <v>636</v>
      </c>
      <c r="I128" s="24"/>
      <c r="J128" s="35" t="str">
        <f aca="false">IF(I128="Compliant",1,IF(I128="Partial",0.5,IF(I128="Non-Compliant",0,"")))</f>
        <v/>
      </c>
      <c r="K128" s="24"/>
      <c r="L128" s="24"/>
      <c r="M128" s="24" t="str">
        <f aca="false">IF(OR(K128="",L128=""),"",IFERROR(VLOOKUP(K128,'Lists &amp; Calculations'!$F$2:$G$5,2,FALSE())*VLOOKUP(L128,'Lists &amp; Calculations'!$I$2:$J$6,2,FALSE()),""))</f>
        <v/>
      </c>
      <c r="N128" s="24"/>
      <c r="O128" s="24"/>
      <c r="P128" s="24"/>
    </row>
    <row r="129" customFormat="false" ht="28.35" hidden="false" customHeight="false" outlineLevel="0" collapsed="false">
      <c r="B129" s="24" t="s">
        <v>637</v>
      </c>
      <c r="C129" s="24" t="s">
        <v>126</v>
      </c>
      <c r="D129" s="24" t="s">
        <v>633</v>
      </c>
      <c r="E129" s="24" t="s">
        <v>638</v>
      </c>
      <c r="F129" s="24" t="s">
        <v>639</v>
      </c>
      <c r="G129" s="24" t="s">
        <v>138</v>
      </c>
      <c r="H129" s="24" t="s">
        <v>640</v>
      </c>
      <c r="I129" s="24"/>
      <c r="J129" s="35" t="str">
        <f aca="false">IF(I129="Compliant",1,IF(I129="Partial",0.5,IF(I129="Non-Compliant",0,"")))</f>
        <v/>
      </c>
      <c r="K129" s="24"/>
      <c r="L129" s="24"/>
      <c r="M129" s="24" t="str">
        <f aca="false">IF(OR(K129="",L129=""),"",IFERROR(VLOOKUP(K129,'Lists &amp; Calculations'!$F$2:$G$5,2,FALSE())*VLOOKUP(L129,'Lists &amp; Calculations'!$I$2:$J$6,2,FALSE()),""))</f>
        <v/>
      </c>
      <c r="N129" s="24"/>
      <c r="O129" s="24"/>
      <c r="P129" s="24"/>
    </row>
    <row r="130" customFormat="false" ht="28.35" hidden="false" customHeight="false" outlineLevel="0" collapsed="false">
      <c r="B130" s="24" t="s">
        <v>641</v>
      </c>
      <c r="C130" s="24" t="s">
        <v>126</v>
      </c>
      <c r="D130" s="24" t="s">
        <v>633</v>
      </c>
      <c r="E130" s="24" t="s">
        <v>416</v>
      </c>
      <c r="F130" s="24" t="s">
        <v>642</v>
      </c>
      <c r="G130" s="24" t="s">
        <v>129</v>
      </c>
      <c r="H130" s="24" t="s">
        <v>643</v>
      </c>
      <c r="I130" s="24"/>
      <c r="J130" s="35" t="str">
        <f aca="false">IF(I130="Compliant",1,IF(I130="Partial",0.5,IF(I130="Non-Compliant",0,"")))</f>
        <v/>
      </c>
      <c r="K130" s="24"/>
      <c r="L130" s="24"/>
      <c r="M130" s="24" t="str">
        <f aca="false">IF(OR(K130="",L130=""),"",IFERROR(VLOOKUP(K130,'Lists &amp; Calculations'!$F$2:$G$5,2,FALSE())*VLOOKUP(L130,'Lists &amp; Calculations'!$I$2:$J$6,2,FALSE()),""))</f>
        <v/>
      </c>
      <c r="N130" s="24"/>
      <c r="O130" s="24"/>
      <c r="P130" s="24"/>
    </row>
    <row r="131" customFormat="false" ht="28.35" hidden="false" customHeight="false" outlineLevel="0" collapsed="false">
      <c r="B131" s="24" t="s">
        <v>644</v>
      </c>
      <c r="C131" s="24" t="s">
        <v>126</v>
      </c>
      <c r="D131" s="24" t="s">
        <v>633</v>
      </c>
      <c r="E131" s="24" t="s">
        <v>645</v>
      </c>
      <c r="F131" s="24" t="s">
        <v>646</v>
      </c>
      <c r="G131" s="24" t="s">
        <v>138</v>
      </c>
      <c r="H131" s="24" t="s">
        <v>647</v>
      </c>
      <c r="I131" s="24"/>
      <c r="J131" s="35" t="str">
        <f aca="false">IF(I131="Compliant",1,IF(I131="Partial",0.5,IF(I131="Non-Compliant",0,"")))</f>
        <v/>
      </c>
      <c r="K131" s="24"/>
      <c r="L131" s="24"/>
      <c r="M131" s="24" t="str">
        <f aca="false">IF(OR(K131="",L131=""),"",IFERROR(VLOOKUP(K131,'Lists &amp; Calculations'!$F$2:$G$5,2,FALSE())*VLOOKUP(L131,'Lists &amp; Calculations'!$I$2:$J$6,2,FALSE()),""))</f>
        <v/>
      </c>
      <c r="N131" s="24"/>
      <c r="O131" s="24"/>
      <c r="P131" s="24"/>
    </row>
    <row r="132" customFormat="false" ht="28.35" hidden="false" customHeight="false" outlineLevel="0" collapsed="false">
      <c r="B132" s="24" t="s">
        <v>648</v>
      </c>
      <c r="C132" s="24" t="s">
        <v>126</v>
      </c>
      <c r="D132" s="24" t="s">
        <v>649</v>
      </c>
      <c r="E132" s="24" t="s">
        <v>650</v>
      </c>
      <c r="F132" s="24" t="s">
        <v>651</v>
      </c>
      <c r="G132" s="24" t="s">
        <v>129</v>
      </c>
      <c r="H132" s="24" t="s">
        <v>652</v>
      </c>
      <c r="I132" s="24"/>
      <c r="J132" s="35" t="str">
        <f aca="false">IF(I132="Compliant",1,IF(I132="Partial",0.5,IF(I132="Non-Compliant",0,"")))</f>
        <v/>
      </c>
      <c r="K132" s="24"/>
      <c r="L132" s="24"/>
      <c r="M132" s="24" t="str">
        <f aca="false">IF(OR(K132="",L132=""),"",IFERROR(VLOOKUP(K132,'Lists &amp; Calculations'!$F$2:$G$5,2,FALSE())*VLOOKUP(L132,'Lists &amp; Calculations'!$I$2:$J$6,2,FALSE()),""))</f>
        <v/>
      </c>
      <c r="N132" s="24"/>
      <c r="O132" s="24"/>
      <c r="P132" s="24"/>
    </row>
    <row r="133" customFormat="false" ht="28.35" hidden="false" customHeight="false" outlineLevel="0" collapsed="false">
      <c r="B133" s="24" t="s">
        <v>653</v>
      </c>
      <c r="C133" s="24" t="s">
        <v>126</v>
      </c>
      <c r="D133" s="24" t="s">
        <v>649</v>
      </c>
      <c r="E133" s="24" t="s">
        <v>654</v>
      </c>
      <c r="F133" s="24" t="s">
        <v>655</v>
      </c>
      <c r="G133" s="24" t="s">
        <v>163</v>
      </c>
      <c r="H133" s="24" t="s">
        <v>656</v>
      </c>
      <c r="I133" s="24"/>
      <c r="J133" s="35" t="str">
        <f aca="false">IF(I133="Compliant",1,IF(I133="Partial",0.5,IF(I133="Non-Compliant",0,"")))</f>
        <v/>
      </c>
      <c r="K133" s="24"/>
      <c r="L133" s="24"/>
      <c r="M133" s="24" t="str">
        <f aca="false">IF(OR(K133="",L133=""),"",IFERROR(VLOOKUP(K133,'Lists &amp; Calculations'!$F$2:$G$5,2,FALSE())*VLOOKUP(L133,'Lists &amp; Calculations'!$I$2:$J$6,2,FALSE()),""))</f>
        <v/>
      </c>
      <c r="N133" s="24"/>
      <c r="O133" s="24"/>
      <c r="P133" s="24"/>
    </row>
    <row r="134" customFormat="false" ht="28.35" hidden="false" customHeight="false" outlineLevel="0" collapsed="false">
      <c r="B134" s="24" t="s">
        <v>657</v>
      </c>
      <c r="C134" s="24" t="s">
        <v>126</v>
      </c>
      <c r="D134" s="24" t="s">
        <v>649</v>
      </c>
      <c r="E134" s="24" t="s">
        <v>658</v>
      </c>
      <c r="F134" s="24" t="s">
        <v>659</v>
      </c>
      <c r="G134" s="24" t="s">
        <v>129</v>
      </c>
      <c r="H134" s="24" t="s">
        <v>660</v>
      </c>
      <c r="I134" s="24"/>
      <c r="J134" s="35" t="str">
        <f aca="false">IF(I134="Compliant",1,IF(I134="Partial",0.5,IF(I134="Non-Compliant",0,"")))</f>
        <v/>
      </c>
      <c r="K134" s="24"/>
      <c r="L134" s="24"/>
      <c r="M134" s="24" t="str">
        <f aca="false">IF(OR(K134="",L134=""),"",IFERROR(VLOOKUP(K134,'Lists &amp; Calculations'!$F$2:$G$5,2,FALSE())*VLOOKUP(L134,'Lists &amp; Calculations'!$I$2:$J$6,2,FALSE()),""))</f>
        <v/>
      </c>
      <c r="N134" s="24"/>
      <c r="O134" s="24"/>
      <c r="P134" s="24"/>
    </row>
    <row r="135" customFormat="false" ht="28.35" hidden="false" customHeight="false" outlineLevel="0" collapsed="false">
      <c r="B135" s="24" t="s">
        <v>661</v>
      </c>
      <c r="C135" s="24" t="s">
        <v>126</v>
      </c>
      <c r="D135" s="24" t="s">
        <v>649</v>
      </c>
      <c r="E135" s="24" t="s">
        <v>166</v>
      </c>
      <c r="F135" s="24" t="s">
        <v>662</v>
      </c>
      <c r="G135" s="24" t="s">
        <v>138</v>
      </c>
      <c r="H135" s="24" t="s">
        <v>663</v>
      </c>
      <c r="I135" s="24"/>
      <c r="J135" s="35" t="str">
        <f aca="false">IF(I135="Compliant",1,IF(I135="Partial",0.5,IF(I135="Non-Compliant",0,"")))</f>
        <v/>
      </c>
      <c r="K135" s="24"/>
      <c r="L135" s="24"/>
      <c r="M135" s="24" t="str">
        <f aca="false">IF(OR(K135="",L135=""),"",IFERROR(VLOOKUP(K135,'Lists &amp; Calculations'!$F$2:$G$5,2,FALSE())*VLOOKUP(L135,'Lists &amp; Calculations'!$I$2:$J$6,2,FALSE()),""))</f>
        <v/>
      </c>
      <c r="N135" s="24"/>
      <c r="O135" s="24"/>
      <c r="P135" s="24"/>
    </row>
    <row r="136" customFormat="false" ht="28.35" hidden="false" customHeight="false" outlineLevel="0" collapsed="false">
      <c r="B136" s="24" t="s">
        <v>664</v>
      </c>
      <c r="C136" s="24" t="s">
        <v>126</v>
      </c>
      <c r="D136" s="24" t="s">
        <v>157</v>
      </c>
      <c r="E136" s="24" t="s">
        <v>665</v>
      </c>
      <c r="F136" s="24" t="s">
        <v>666</v>
      </c>
      <c r="G136" s="24" t="s">
        <v>129</v>
      </c>
      <c r="H136" s="24" t="s">
        <v>667</v>
      </c>
      <c r="I136" s="24"/>
      <c r="J136" s="35" t="str">
        <f aca="false">IF(I136="Compliant",1,IF(I136="Partial",0.5,IF(I136="Non-Compliant",0,"")))</f>
        <v/>
      </c>
      <c r="K136" s="24"/>
      <c r="L136" s="24"/>
      <c r="M136" s="24" t="str">
        <f aca="false">IF(OR(K136="",L136=""),"",IFERROR(VLOOKUP(K136,'Lists &amp; Calculations'!$F$2:$G$5,2,FALSE())*VLOOKUP(L136,'Lists &amp; Calculations'!$I$2:$J$6,2,FALSE()),""))</f>
        <v/>
      </c>
      <c r="N136" s="24"/>
      <c r="O136" s="24"/>
      <c r="P136" s="24"/>
    </row>
    <row r="137" customFormat="false" ht="15" hidden="false" customHeight="false" outlineLevel="0" collapsed="false">
      <c r="B137" s="24" t="s">
        <v>668</v>
      </c>
      <c r="C137" s="24" t="s">
        <v>126</v>
      </c>
      <c r="D137" s="24" t="s">
        <v>157</v>
      </c>
      <c r="E137" s="24" t="s">
        <v>669</v>
      </c>
      <c r="F137" s="24" t="s">
        <v>670</v>
      </c>
      <c r="G137" s="24" t="s">
        <v>138</v>
      </c>
      <c r="H137" s="24" t="s">
        <v>671</v>
      </c>
      <c r="I137" s="24"/>
      <c r="J137" s="35" t="str">
        <f aca="false">IF(I137="Compliant",1,IF(I137="Partial",0.5,IF(I137="Non-Compliant",0,"")))</f>
        <v/>
      </c>
      <c r="K137" s="24"/>
      <c r="L137" s="24"/>
      <c r="M137" s="24" t="str">
        <f aca="false">IF(OR(K137="",L137=""),"",IFERROR(VLOOKUP(K137,'Lists &amp; Calculations'!$F$2:$G$5,2,FALSE())*VLOOKUP(L137,'Lists &amp; Calculations'!$I$2:$J$6,2,FALSE()),""))</f>
        <v/>
      </c>
      <c r="N137" s="24"/>
      <c r="O137" s="24"/>
      <c r="P137" s="24"/>
    </row>
    <row r="138" customFormat="false" ht="28.35" hidden="false" customHeight="false" outlineLevel="0" collapsed="false">
      <c r="B138" s="24" t="s">
        <v>672</v>
      </c>
      <c r="C138" s="24" t="s">
        <v>126</v>
      </c>
      <c r="D138" s="24" t="s">
        <v>157</v>
      </c>
      <c r="E138" s="24" t="s">
        <v>673</v>
      </c>
      <c r="F138" s="24" t="s">
        <v>674</v>
      </c>
      <c r="G138" s="24" t="s">
        <v>138</v>
      </c>
      <c r="H138" s="24" t="s">
        <v>675</v>
      </c>
      <c r="I138" s="24"/>
      <c r="J138" s="35" t="str">
        <f aca="false">IF(I138="Compliant",1,IF(I138="Partial",0.5,IF(I138="Non-Compliant",0,"")))</f>
        <v/>
      </c>
      <c r="K138" s="24"/>
      <c r="L138" s="24"/>
      <c r="M138" s="24" t="str">
        <f aca="false">IF(OR(K138="",L138=""),"",IFERROR(VLOOKUP(K138,'Lists &amp; Calculations'!$F$2:$G$5,2,FALSE())*VLOOKUP(L138,'Lists &amp; Calculations'!$I$2:$J$6,2,FALSE()),""))</f>
        <v/>
      </c>
      <c r="N138" s="24"/>
      <c r="O138" s="24"/>
      <c r="P138" s="24"/>
    </row>
    <row r="139" customFormat="false" ht="28.35" hidden="false" customHeight="false" outlineLevel="0" collapsed="false">
      <c r="B139" s="24" t="s">
        <v>676</v>
      </c>
      <c r="C139" s="24" t="s">
        <v>126</v>
      </c>
      <c r="D139" s="24" t="s">
        <v>157</v>
      </c>
      <c r="E139" s="24" t="s">
        <v>677</v>
      </c>
      <c r="F139" s="24" t="s">
        <v>678</v>
      </c>
      <c r="G139" s="24" t="s">
        <v>129</v>
      </c>
      <c r="H139" s="24" t="s">
        <v>679</v>
      </c>
      <c r="I139" s="24"/>
      <c r="J139" s="35" t="str">
        <f aca="false">IF(I139="Compliant",1,IF(I139="Partial",0.5,IF(I139="Non-Compliant",0,"")))</f>
        <v/>
      </c>
      <c r="K139" s="24"/>
      <c r="L139" s="24"/>
      <c r="M139" s="24" t="str">
        <f aca="false">IF(OR(K139="",L139=""),"",IFERROR(VLOOKUP(K139,'Lists &amp; Calculations'!$F$2:$G$5,2,FALSE())*VLOOKUP(L139,'Lists &amp; Calculations'!$I$2:$J$6,2,FALSE()),""))</f>
        <v/>
      </c>
      <c r="N139" s="24"/>
      <c r="O139" s="24"/>
      <c r="P139" s="24"/>
    </row>
    <row r="140" customFormat="false" ht="28.35" hidden="false" customHeight="false" outlineLevel="0" collapsed="false">
      <c r="B140" s="24" t="s">
        <v>680</v>
      </c>
      <c r="C140" s="24" t="s">
        <v>126</v>
      </c>
      <c r="D140" s="24" t="s">
        <v>157</v>
      </c>
      <c r="E140" s="24" t="s">
        <v>681</v>
      </c>
      <c r="F140" s="24" t="s">
        <v>682</v>
      </c>
      <c r="G140" s="24" t="s">
        <v>138</v>
      </c>
      <c r="H140" s="24" t="s">
        <v>683</v>
      </c>
      <c r="I140" s="24"/>
      <c r="J140" s="35" t="str">
        <f aca="false">IF(I140="Compliant",1,IF(I140="Partial",0.5,IF(I140="Non-Compliant",0,"")))</f>
        <v/>
      </c>
      <c r="K140" s="24"/>
      <c r="L140" s="24"/>
      <c r="M140" s="24" t="str">
        <f aca="false">IF(OR(K140="",L140=""),"",IFERROR(VLOOKUP(K140,'Lists &amp; Calculations'!$F$2:$G$5,2,FALSE())*VLOOKUP(L140,'Lists &amp; Calculations'!$I$2:$J$6,2,FALSE()),""))</f>
        <v/>
      </c>
      <c r="N140" s="24"/>
      <c r="O140" s="24"/>
      <c r="P140" s="24"/>
    </row>
    <row r="141" customFormat="false" ht="28.35" hidden="false" customHeight="false" outlineLevel="0" collapsed="false">
      <c r="B141" s="24" t="s">
        <v>684</v>
      </c>
      <c r="C141" s="24" t="s">
        <v>126</v>
      </c>
      <c r="D141" s="24" t="s">
        <v>685</v>
      </c>
      <c r="E141" s="24" t="s">
        <v>686</v>
      </c>
      <c r="F141" s="24" t="s">
        <v>687</v>
      </c>
      <c r="G141" s="24" t="s">
        <v>129</v>
      </c>
      <c r="H141" s="24" t="s">
        <v>688</v>
      </c>
      <c r="I141" s="24"/>
      <c r="J141" s="35" t="str">
        <f aca="false">IF(I141="Compliant",1,IF(I141="Partial",0.5,IF(I141="Non-Compliant",0,"")))</f>
        <v/>
      </c>
      <c r="K141" s="24"/>
      <c r="L141" s="24"/>
      <c r="M141" s="24" t="str">
        <f aca="false">IF(OR(K141="",L141=""),"",IFERROR(VLOOKUP(K141,'Lists &amp; Calculations'!$F$2:$G$5,2,FALSE())*VLOOKUP(L141,'Lists &amp; Calculations'!$I$2:$J$6,2,FALSE()),""))</f>
        <v/>
      </c>
      <c r="N141" s="24"/>
      <c r="O141" s="24"/>
      <c r="P141" s="24"/>
    </row>
    <row r="142" customFormat="false" ht="28.35" hidden="false" customHeight="false" outlineLevel="0" collapsed="false">
      <c r="B142" s="24" t="s">
        <v>689</v>
      </c>
      <c r="C142" s="24" t="s">
        <v>126</v>
      </c>
      <c r="D142" s="24" t="s">
        <v>685</v>
      </c>
      <c r="E142" s="24" t="s">
        <v>690</v>
      </c>
      <c r="F142" s="24" t="s">
        <v>691</v>
      </c>
      <c r="G142" s="24" t="s">
        <v>129</v>
      </c>
      <c r="H142" s="24" t="s">
        <v>692</v>
      </c>
      <c r="I142" s="24"/>
      <c r="J142" s="35" t="str">
        <f aca="false">IF(I142="Compliant",1,IF(I142="Partial",0.5,IF(I142="Non-Compliant",0,"")))</f>
        <v/>
      </c>
      <c r="K142" s="24"/>
      <c r="L142" s="24"/>
      <c r="M142" s="24" t="str">
        <f aca="false">IF(OR(K142="",L142=""),"",IFERROR(VLOOKUP(K142,'Lists &amp; Calculations'!$F$2:$G$5,2,FALSE())*VLOOKUP(L142,'Lists &amp; Calculations'!$I$2:$J$6,2,FALSE()),""))</f>
        <v/>
      </c>
      <c r="N142" s="24"/>
      <c r="O142" s="24"/>
      <c r="P142" s="24"/>
    </row>
    <row r="143" customFormat="false" ht="28.35" hidden="false" customHeight="false" outlineLevel="0" collapsed="false">
      <c r="B143" s="24" t="s">
        <v>693</v>
      </c>
      <c r="C143" s="24" t="s">
        <v>126</v>
      </c>
      <c r="D143" s="24" t="s">
        <v>685</v>
      </c>
      <c r="E143" s="24" t="s">
        <v>694</v>
      </c>
      <c r="F143" s="24" t="s">
        <v>695</v>
      </c>
      <c r="G143" s="24" t="s">
        <v>138</v>
      </c>
      <c r="H143" s="24" t="s">
        <v>696</v>
      </c>
      <c r="I143" s="24"/>
      <c r="J143" s="35" t="str">
        <f aca="false">IF(I143="Compliant",1,IF(I143="Partial",0.5,IF(I143="Non-Compliant",0,"")))</f>
        <v/>
      </c>
      <c r="K143" s="24"/>
      <c r="L143" s="24"/>
      <c r="M143" s="24" t="str">
        <f aca="false">IF(OR(K143="",L143=""),"",IFERROR(VLOOKUP(K143,'Lists &amp; Calculations'!$F$2:$G$5,2,FALSE())*VLOOKUP(L143,'Lists &amp; Calculations'!$I$2:$J$6,2,FALSE()),""))</f>
        <v/>
      </c>
      <c r="N143" s="24"/>
      <c r="O143" s="24"/>
      <c r="P143" s="24"/>
    </row>
    <row r="144" customFormat="false" ht="28.35" hidden="false" customHeight="false" outlineLevel="0" collapsed="false">
      <c r="B144" s="24" t="s">
        <v>697</v>
      </c>
      <c r="C144" s="24" t="s">
        <v>126</v>
      </c>
      <c r="D144" s="24" t="s">
        <v>685</v>
      </c>
      <c r="E144" s="24" t="s">
        <v>698</v>
      </c>
      <c r="F144" s="24" t="s">
        <v>699</v>
      </c>
      <c r="G144" s="24" t="s">
        <v>138</v>
      </c>
      <c r="H144" s="24" t="s">
        <v>700</v>
      </c>
      <c r="I144" s="24"/>
      <c r="J144" s="35" t="str">
        <f aca="false">IF(I144="Compliant",1,IF(I144="Partial",0.5,IF(I144="Non-Compliant",0,"")))</f>
        <v/>
      </c>
      <c r="K144" s="24"/>
      <c r="L144" s="24"/>
      <c r="M144" s="24" t="str">
        <f aca="false">IF(OR(K144="",L144=""),"",IFERROR(VLOOKUP(K144,'Lists &amp; Calculations'!$F$2:$G$5,2,FALSE())*VLOOKUP(L144,'Lists &amp; Calculations'!$I$2:$J$6,2,FALSE()),""))</f>
        <v/>
      </c>
      <c r="N144" s="24"/>
      <c r="O144" s="24"/>
      <c r="P144" s="24"/>
    </row>
    <row r="145" customFormat="false" ht="28.35" hidden="false" customHeight="false" outlineLevel="0" collapsed="false">
      <c r="B145" s="24" t="s">
        <v>701</v>
      </c>
      <c r="C145" s="24" t="s">
        <v>126</v>
      </c>
      <c r="D145" s="24" t="s">
        <v>702</v>
      </c>
      <c r="E145" s="24" t="s">
        <v>703</v>
      </c>
      <c r="F145" s="24" t="s">
        <v>704</v>
      </c>
      <c r="G145" s="24" t="s">
        <v>129</v>
      </c>
      <c r="H145" s="24" t="s">
        <v>705</v>
      </c>
      <c r="I145" s="24"/>
      <c r="J145" s="35" t="str">
        <f aca="false">IF(I145="Compliant",1,IF(I145="Partial",0.5,IF(I145="Non-Compliant",0,"")))</f>
        <v/>
      </c>
      <c r="K145" s="24"/>
      <c r="L145" s="24"/>
      <c r="M145" s="24" t="str">
        <f aca="false">IF(OR(K145="",L145=""),"",IFERROR(VLOOKUP(K145,'Lists &amp; Calculations'!$F$2:$G$5,2,FALSE())*VLOOKUP(L145,'Lists &amp; Calculations'!$I$2:$J$6,2,FALSE()),""))</f>
        <v/>
      </c>
      <c r="N145" s="24"/>
      <c r="O145" s="24"/>
      <c r="P145" s="24"/>
    </row>
    <row r="146" customFormat="false" ht="28.35" hidden="false" customHeight="false" outlineLevel="0" collapsed="false">
      <c r="B146" s="24" t="s">
        <v>706</v>
      </c>
      <c r="C146" s="24" t="s">
        <v>126</v>
      </c>
      <c r="D146" s="24" t="s">
        <v>702</v>
      </c>
      <c r="E146" s="24" t="s">
        <v>707</v>
      </c>
      <c r="F146" s="24" t="s">
        <v>708</v>
      </c>
      <c r="G146" s="24" t="s">
        <v>129</v>
      </c>
      <c r="H146" s="24" t="s">
        <v>709</v>
      </c>
      <c r="I146" s="24"/>
      <c r="J146" s="35" t="str">
        <f aca="false">IF(I146="Compliant",1,IF(I146="Partial",0.5,IF(I146="Non-Compliant",0,"")))</f>
        <v/>
      </c>
      <c r="K146" s="24"/>
      <c r="L146" s="24"/>
      <c r="M146" s="24" t="str">
        <f aca="false">IF(OR(K146="",L146=""),"",IFERROR(VLOOKUP(K146,'Lists &amp; Calculations'!$F$2:$G$5,2,FALSE())*VLOOKUP(L146,'Lists &amp; Calculations'!$I$2:$J$6,2,FALSE()),""))</f>
        <v/>
      </c>
      <c r="N146" s="24"/>
      <c r="O146" s="24"/>
      <c r="P146" s="24"/>
    </row>
    <row r="147" customFormat="false" ht="28.35" hidden="false" customHeight="false" outlineLevel="0" collapsed="false">
      <c r="B147" s="24" t="s">
        <v>710</v>
      </c>
      <c r="C147" s="24" t="s">
        <v>126</v>
      </c>
      <c r="D147" s="24" t="s">
        <v>702</v>
      </c>
      <c r="E147" s="24" t="s">
        <v>711</v>
      </c>
      <c r="F147" s="24" t="s">
        <v>712</v>
      </c>
      <c r="G147" s="24" t="s">
        <v>138</v>
      </c>
      <c r="H147" s="24" t="s">
        <v>713</v>
      </c>
      <c r="I147" s="24"/>
      <c r="J147" s="35" t="str">
        <f aca="false">IF(I147="Compliant",1,IF(I147="Partial",0.5,IF(I147="Non-Compliant",0,"")))</f>
        <v/>
      </c>
      <c r="K147" s="24"/>
      <c r="L147" s="24"/>
      <c r="M147" s="24" t="str">
        <f aca="false">IF(OR(K147="",L147=""),"",IFERROR(VLOOKUP(K147,'Lists &amp; Calculations'!$F$2:$G$5,2,FALSE())*VLOOKUP(L147,'Lists &amp; Calculations'!$I$2:$J$6,2,FALSE()),""))</f>
        <v/>
      </c>
      <c r="N147" s="24"/>
      <c r="O147" s="24"/>
      <c r="P147" s="24"/>
    </row>
    <row r="148" customFormat="false" ht="28.35" hidden="false" customHeight="false" outlineLevel="0" collapsed="false">
      <c r="B148" s="24" t="s">
        <v>714</v>
      </c>
      <c r="C148" s="24" t="s">
        <v>126</v>
      </c>
      <c r="D148" s="24" t="s">
        <v>702</v>
      </c>
      <c r="E148" s="24" t="s">
        <v>715</v>
      </c>
      <c r="F148" s="24" t="s">
        <v>716</v>
      </c>
      <c r="G148" s="24" t="s">
        <v>129</v>
      </c>
      <c r="H148" s="24" t="s">
        <v>717</v>
      </c>
      <c r="I148" s="24"/>
      <c r="J148" s="35" t="str">
        <f aca="false">IF(I148="Compliant",1,IF(I148="Partial",0.5,IF(I148="Non-Compliant",0,"")))</f>
        <v/>
      </c>
      <c r="K148" s="24"/>
      <c r="L148" s="24"/>
      <c r="M148" s="24" t="str">
        <f aca="false">IF(OR(K148="",L148=""),"",IFERROR(VLOOKUP(K148,'Lists &amp; Calculations'!$F$2:$G$5,2,FALSE())*VLOOKUP(L148,'Lists &amp; Calculations'!$I$2:$J$6,2,FALSE()),""))</f>
        <v/>
      </c>
      <c r="N148" s="24"/>
      <c r="O148" s="24"/>
      <c r="P148" s="24"/>
    </row>
    <row r="149" customFormat="false" ht="28.35" hidden="false" customHeight="false" outlineLevel="0" collapsed="false">
      <c r="B149" s="24" t="s">
        <v>718</v>
      </c>
      <c r="C149" s="24" t="s">
        <v>126</v>
      </c>
      <c r="D149" s="24" t="s">
        <v>719</v>
      </c>
      <c r="E149" s="24" t="s">
        <v>720</v>
      </c>
      <c r="F149" s="24" t="s">
        <v>721</v>
      </c>
      <c r="G149" s="24" t="s">
        <v>138</v>
      </c>
      <c r="H149" s="24" t="s">
        <v>722</v>
      </c>
      <c r="I149" s="24"/>
      <c r="J149" s="35" t="str">
        <f aca="false">IF(I149="Compliant",1,IF(I149="Partial",0.5,IF(I149="Non-Compliant",0,"")))</f>
        <v/>
      </c>
      <c r="K149" s="24"/>
      <c r="L149" s="24"/>
      <c r="M149" s="24" t="str">
        <f aca="false">IF(OR(K149="",L149=""),"",IFERROR(VLOOKUP(K149,'Lists &amp; Calculations'!$F$2:$G$5,2,FALSE())*VLOOKUP(L149,'Lists &amp; Calculations'!$I$2:$J$6,2,FALSE()),""))</f>
        <v/>
      </c>
      <c r="N149" s="24"/>
      <c r="O149" s="24"/>
      <c r="P149" s="24"/>
    </row>
    <row r="150" customFormat="false" ht="28.35" hidden="false" customHeight="false" outlineLevel="0" collapsed="false">
      <c r="B150" s="24" t="s">
        <v>723</v>
      </c>
      <c r="C150" s="24" t="s">
        <v>126</v>
      </c>
      <c r="D150" s="24" t="s">
        <v>719</v>
      </c>
      <c r="E150" s="24" t="s">
        <v>724</v>
      </c>
      <c r="F150" s="24" t="s">
        <v>725</v>
      </c>
      <c r="G150" s="24" t="s">
        <v>129</v>
      </c>
      <c r="H150" s="24" t="s">
        <v>726</v>
      </c>
      <c r="I150" s="24"/>
      <c r="J150" s="35" t="str">
        <f aca="false">IF(I150="Compliant",1,IF(I150="Partial",0.5,IF(I150="Non-Compliant",0,"")))</f>
        <v/>
      </c>
      <c r="K150" s="24"/>
      <c r="L150" s="24"/>
      <c r="M150" s="24" t="str">
        <f aca="false">IF(OR(K150="",L150=""),"",IFERROR(VLOOKUP(K150,'Lists &amp; Calculations'!$F$2:$G$5,2,FALSE())*VLOOKUP(L150,'Lists &amp; Calculations'!$I$2:$J$6,2,FALSE()),""))</f>
        <v/>
      </c>
      <c r="N150" s="24"/>
      <c r="O150" s="24"/>
      <c r="P150" s="24"/>
    </row>
    <row r="151" customFormat="false" ht="28.35" hidden="false" customHeight="false" outlineLevel="0" collapsed="false">
      <c r="B151" s="24" t="s">
        <v>727</v>
      </c>
      <c r="C151" s="24" t="s">
        <v>126</v>
      </c>
      <c r="D151" s="24" t="s">
        <v>719</v>
      </c>
      <c r="E151" s="24" t="s">
        <v>728</v>
      </c>
      <c r="F151" s="24" t="s">
        <v>729</v>
      </c>
      <c r="G151" s="24" t="s">
        <v>138</v>
      </c>
      <c r="H151" s="24" t="s">
        <v>730</v>
      </c>
      <c r="I151" s="24"/>
      <c r="J151" s="35" t="str">
        <f aca="false">IF(I151="Compliant",1,IF(I151="Partial",0.5,IF(I151="Non-Compliant",0,"")))</f>
        <v/>
      </c>
      <c r="K151" s="24"/>
      <c r="L151" s="24"/>
      <c r="M151" s="24" t="str">
        <f aca="false">IF(OR(K151="",L151=""),"",IFERROR(VLOOKUP(K151,'Lists &amp; Calculations'!$F$2:$G$5,2,FALSE())*VLOOKUP(L151,'Lists &amp; Calculations'!$I$2:$J$6,2,FALSE()),""))</f>
        <v/>
      </c>
      <c r="N151" s="24"/>
      <c r="O151" s="24"/>
      <c r="P151" s="24"/>
    </row>
    <row r="153" customFormat="false" ht="15" hidden="false" customHeight="false" outlineLevel="0" collapsed="false">
      <c r="B153" s="37" t="s">
        <v>731</v>
      </c>
    </row>
    <row r="154" customFormat="false" ht="15" hidden="false" customHeight="false" outlineLevel="0" collapsed="false">
      <c r="B154" s="38" t="s">
        <v>732</v>
      </c>
      <c r="C154" s="38" t="n">
        <f aca="false">COUNTA(B5:B151)</f>
        <v>147</v>
      </c>
    </row>
    <row r="155" customFormat="false" ht="15" hidden="false" customHeight="false" outlineLevel="0" collapsed="false">
      <c r="B155" s="39" t="s">
        <v>733</v>
      </c>
      <c r="C155" s="39" t="n">
        <f aca="false">COUNTIF(I5:I151,"Compliant")</f>
        <v>0</v>
      </c>
    </row>
    <row r="156" customFormat="false" ht="15" hidden="false" customHeight="false" outlineLevel="0" collapsed="false">
      <c r="B156" s="40" t="s">
        <v>734</v>
      </c>
      <c r="C156" s="40" t="n">
        <f aca="false">COUNTIF(I5:I151,"Partial")</f>
        <v>0</v>
      </c>
    </row>
    <row r="157" customFormat="false" ht="15" hidden="false" customHeight="false" outlineLevel="0" collapsed="false">
      <c r="B157" s="41" t="s">
        <v>735</v>
      </c>
      <c r="C157" s="41" t="n">
        <f aca="false">COUNTIF(I5:I151,"Non-Compliant")</f>
        <v>0</v>
      </c>
    </row>
    <row r="158" customFormat="false" ht="15" hidden="false" customHeight="false" outlineLevel="0" collapsed="false">
      <c r="B158" s="42" t="s">
        <v>736</v>
      </c>
      <c r="C158" s="43" t="str">
        <f aca="false">IFERROR(AVERAGEIF(J5:J151,"&gt;=0"),"")</f>
        <v/>
      </c>
    </row>
  </sheetData>
  <autoFilter ref="B4:P151"/>
  <mergeCells count="1">
    <mergeCell ref="B2:Q2"/>
  </mergeCells>
  <conditionalFormatting sqref="I5:I151">
    <cfRule type="cellIs" priority="2" operator="equal" aboveAverage="0" equalAverage="0" bottom="0" percent="0" rank="0" text="" dxfId="8">
      <formula>"Non-Compliant"</formula>
    </cfRule>
    <cfRule type="cellIs" priority="3" operator="equal" aboveAverage="0" equalAverage="0" bottom="0" percent="0" rank="0" text="" dxfId="9">
      <formula>"Partial"</formula>
    </cfRule>
    <cfRule type="cellIs" priority="4" operator="equal" aboveAverage="0" equalAverage="0" bottom="0" percent="0" rank="0" text="" dxfId="10">
      <formula>"Compliant"</formula>
    </cfRule>
  </conditionalFormatting>
  <conditionalFormatting sqref="M5:M151">
    <cfRule type="colorScale" priority="5">
      <colorScale>
        <cfvo type="num" val="0"/>
        <cfvo type="num" val="8"/>
        <cfvo type="num" val="25"/>
        <color rgb="FF63BE7B"/>
        <color rgb="FFFFEB84"/>
        <color rgb="FFF8696B"/>
      </colorScale>
    </cfRule>
  </conditionalFormatting>
  <dataValidations count="5">
    <dataValidation allowBlank="true" errorStyle="stop" operator="between" prompt="Select compliance status" promptTitle="Status" showDropDown="false" showErrorMessage="false" showInputMessage="false" sqref="I5:I151" type="list">
      <formula1>"Compliant,Partial,Non-Compliant,Not Applicable"</formula1>
      <formula2>0</formula2>
    </dataValidation>
    <dataValidation allowBlank="true" errorStyle="stop" operator="between" showDropDown="false" showErrorMessage="false" showInputMessage="false" sqref="C5:C151" type="list">
      <formula1>"Assess,Prioritize,Improve,Sustain"</formula1>
      <formula2>0</formula2>
    </dataValidation>
    <dataValidation allowBlank="true" errorStyle="stop" operator="between" showDropDown="false" showErrorMessage="false" showInputMessage="false" sqref="K5:K151" type="list">
      <formula1>"Critical,High,Medium,Low"</formula1>
      <formula2>0</formula2>
    </dataValidation>
    <dataValidation allowBlank="true" errorStyle="stop" operator="between" showDropDown="false" showErrorMessage="false" showInputMessage="false" sqref="L5:L151" type="list">
      <formula1>"Almost Certain,Likely,Possible,Unlikely,Rare"</formula1>
      <formula2>0</formula2>
    </dataValidation>
    <dataValidation allowBlank="true" errorStyle="stop" operator="between" showDropDown="false" showErrorMessage="false" showInputMessage="false" sqref="D5:D151" type="list">
      <formula1>lists &amp; calculations!$l$2:$l$25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1F3B"/>
    <pageSetUpPr fitToPage="false"/>
  </sheetPr>
  <dimension ref="B2:M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20"/>
    <col collapsed="false" customWidth="true" hidden="false" outlineLevel="0" max="4" min="4" style="1" width="22"/>
    <col collapsed="false" customWidth="true" hidden="false" outlineLevel="0" max="5" min="5" style="1" width="35"/>
    <col collapsed="false" customWidth="true" hidden="false" outlineLevel="0" max="6" min="6" style="1" width="25"/>
    <col collapsed="false" customWidth="true" hidden="false" outlineLevel="0" max="7" min="7" style="1" width="12"/>
    <col collapsed="false" customWidth="true" hidden="false" outlineLevel="0" max="8" min="8" style="1" width="14"/>
    <col collapsed="false" customWidth="true" hidden="false" outlineLevel="0" max="9" min="9" style="1" width="10"/>
    <col collapsed="false" customWidth="true" hidden="false" outlineLevel="0" max="10" min="10" style="1" width="30"/>
    <col collapsed="false" customWidth="true" hidden="false" outlineLevel="0" max="13" min="11" style="1" width="14"/>
  </cols>
  <sheetData>
    <row r="2" customFormat="false" ht="24" hidden="false" customHeight="true" outlineLevel="0" collapsed="false">
      <c r="B2" s="10" t="s">
        <v>737</v>
      </c>
      <c r="C2" s="10"/>
      <c r="D2" s="10"/>
      <c r="E2" s="10"/>
      <c r="F2" s="10"/>
      <c r="G2" s="10"/>
      <c r="H2" s="10"/>
      <c r="I2" s="10"/>
      <c r="J2" s="10"/>
      <c r="K2" s="10"/>
      <c r="L2" s="10"/>
      <c r="M2" s="10"/>
    </row>
    <row r="4" customFormat="false" ht="27.75" hidden="false" customHeight="true" outlineLevel="0" collapsed="false">
      <c r="B4" s="23" t="s">
        <v>113</v>
      </c>
      <c r="C4" s="23" t="s">
        <v>738</v>
      </c>
      <c r="D4" s="23" t="s">
        <v>59</v>
      </c>
      <c r="E4" s="23" t="s">
        <v>739</v>
      </c>
      <c r="F4" s="23" t="s">
        <v>740</v>
      </c>
      <c r="G4" s="23" t="s">
        <v>80</v>
      </c>
      <c r="H4" s="23" t="s">
        <v>120</v>
      </c>
      <c r="I4" s="23" t="s">
        <v>741</v>
      </c>
      <c r="J4" s="23" t="s">
        <v>742</v>
      </c>
      <c r="K4" s="23" t="s">
        <v>122</v>
      </c>
      <c r="L4" s="23" t="s">
        <v>743</v>
      </c>
      <c r="M4" s="23" t="s">
        <v>56</v>
      </c>
    </row>
    <row r="5" customFormat="false" ht="15" hidden="false" customHeight="true" outlineLevel="0" collapsed="false">
      <c r="B5" s="24" t="s">
        <v>125</v>
      </c>
      <c r="C5" s="24"/>
      <c r="D5" s="24"/>
      <c r="E5" s="24"/>
      <c r="F5" s="24"/>
      <c r="G5" s="24"/>
      <c r="H5" s="24"/>
      <c r="I5" s="44" t="str">
        <f aca="false">IF(AND(G5&lt;&gt;"",H5&lt;&gt;""),VLOOKUP(G5,'Lists &amp; Calculations'!$F$2:$G$5,2,FALSE())*VLOOKUP(H5,'Lists &amp; Calculations'!$I$2:$J$6,2,FALSE()),"")</f>
        <v/>
      </c>
      <c r="J5" s="24"/>
      <c r="K5" s="24"/>
      <c r="L5" s="24"/>
      <c r="M5" s="24"/>
    </row>
    <row r="6" customFormat="false" ht="15" hidden="false" customHeight="true" outlineLevel="0" collapsed="false">
      <c r="B6" s="24" t="s">
        <v>131</v>
      </c>
      <c r="C6" s="24"/>
      <c r="D6" s="24"/>
      <c r="E6" s="24"/>
      <c r="F6" s="24"/>
      <c r="G6" s="24"/>
      <c r="H6" s="24"/>
      <c r="I6" s="44" t="str">
        <f aca="false">IF(AND(G6&lt;&gt;"",H6&lt;&gt;""),VLOOKUP(G6,'Lists &amp; Calculations'!$F$2:$G$5,2,FALSE())*VLOOKUP(H6,'Lists &amp; Calculations'!$I$2:$J$6,2,FALSE()),"")</f>
        <v/>
      </c>
      <c r="J6" s="24"/>
      <c r="K6" s="24"/>
      <c r="L6" s="24"/>
      <c r="M6" s="24"/>
    </row>
    <row r="7" customFormat="false" ht="15" hidden="false" customHeight="true" outlineLevel="0" collapsed="false">
      <c r="B7" s="24" t="s">
        <v>135</v>
      </c>
      <c r="C7" s="24"/>
      <c r="D7" s="24"/>
      <c r="E7" s="24"/>
      <c r="F7" s="24"/>
      <c r="G7" s="24"/>
      <c r="H7" s="24"/>
      <c r="I7" s="44" t="str">
        <f aca="false">IF(AND(G7&lt;&gt;"",H7&lt;&gt;""),VLOOKUP(G7,'Lists &amp; Calculations'!$F$2:$G$5,2,FALSE())*VLOOKUP(H7,'Lists &amp; Calculations'!$I$2:$J$6,2,FALSE()),"")</f>
        <v/>
      </c>
      <c r="J7" s="24"/>
      <c r="K7" s="24"/>
      <c r="L7" s="24"/>
      <c r="M7" s="24"/>
    </row>
    <row r="8" customFormat="false" ht="15" hidden="false" customHeight="true" outlineLevel="0" collapsed="false">
      <c r="B8" s="24" t="s">
        <v>140</v>
      </c>
      <c r="C8" s="24"/>
      <c r="D8" s="24"/>
      <c r="E8" s="24"/>
      <c r="F8" s="24"/>
      <c r="G8" s="24"/>
      <c r="H8" s="24"/>
      <c r="I8" s="44" t="str">
        <f aca="false">IF(AND(G8&lt;&gt;"",H8&lt;&gt;""),VLOOKUP(G8,'Lists &amp; Calculations'!$F$2:$G$5,2,FALSE())*VLOOKUP(H8,'Lists &amp; Calculations'!$I$2:$J$6,2,FALSE()),"")</f>
        <v/>
      </c>
      <c r="J8" s="24"/>
      <c r="K8" s="24"/>
      <c r="L8" s="24"/>
      <c r="M8" s="24"/>
    </row>
    <row r="9" customFormat="false" ht="15" hidden="false" customHeight="true" outlineLevel="0" collapsed="false">
      <c r="B9" s="24" t="s">
        <v>144</v>
      </c>
      <c r="C9" s="24"/>
      <c r="D9" s="24"/>
      <c r="E9" s="24"/>
      <c r="F9" s="24"/>
      <c r="G9" s="24"/>
      <c r="H9" s="24"/>
      <c r="I9" s="44" t="str">
        <f aca="false">IF(AND(G9&lt;&gt;"",H9&lt;&gt;""),VLOOKUP(G9,'Lists &amp; Calculations'!$F$2:$G$5,2,FALSE())*VLOOKUP(H9,'Lists &amp; Calculations'!$I$2:$J$6,2,FALSE()),"")</f>
        <v/>
      </c>
      <c r="J9" s="24"/>
      <c r="K9" s="24"/>
      <c r="L9" s="24"/>
      <c r="M9" s="24"/>
    </row>
    <row r="10" customFormat="false" ht="15" hidden="false" customHeight="true" outlineLevel="0" collapsed="false">
      <c r="B10" s="24" t="s">
        <v>148</v>
      </c>
      <c r="C10" s="24"/>
      <c r="D10" s="24"/>
      <c r="E10" s="24"/>
      <c r="F10" s="24"/>
      <c r="G10" s="24"/>
      <c r="H10" s="24"/>
      <c r="I10" s="44" t="str">
        <f aca="false">IF(AND(G10&lt;&gt;"",H10&lt;&gt;""),VLOOKUP(G10,'Lists &amp; Calculations'!$F$2:$G$5,2,FALSE())*VLOOKUP(H10,'Lists &amp; Calculations'!$I$2:$J$6,2,FALSE()),"")</f>
        <v/>
      </c>
      <c r="J10" s="24"/>
      <c r="K10" s="24"/>
      <c r="L10" s="24"/>
      <c r="M10" s="24"/>
    </row>
    <row r="11" customFormat="false" ht="15" hidden="false" customHeight="true" outlineLevel="0" collapsed="false">
      <c r="B11" s="24" t="s">
        <v>152</v>
      </c>
      <c r="C11" s="24"/>
      <c r="D11" s="24"/>
      <c r="E11" s="24"/>
      <c r="F11" s="24"/>
      <c r="G11" s="24"/>
      <c r="H11" s="24"/>
      <c r="I11" s="44" t="str">
        <f aca="false">IF(AND(G11&lt;&gt;"",H11&lt;&gt;""),VLOOKUP(G11,'Lists &amp; Calculations'!$F$2:$G$5,2,FALSE())*VLOOKUP(H11,'Lists &amp; Calculations'!$I$2:$J$6,2,FALSE()),"")</f>
        <v/>
      </c>
      <c r="J11" s="24"/>
      <c r="K11" s="24"/>
      <c r="L11" s="24"/>
      <c r="M11" s="24"/>
    </row>
    <row r="12" customFormat="false" ht="15" hidden="false" customHeight="true" outlineLevel="0" collapsed="false">
      <c r="B12" s="24" t="s">
        <v>156</v>
      </c>
      <c r="C12" s="24"/>
      <c r="D12" s="24"/>
      <c r="E12" s="24"/>
      <c r="F12" s="24"/>
      <c r="G12" s="24"/>
      <c r="H12" s="24"/>
      <c r="I12" s="44" t="str">
        <f aca="false">IF(AND(G12&lt;&gt;"",H12&lt;&gt;""),VLOOKUP(G12,'Lists &amp; Calculations'!$F$2:$G$5,2,FALSE())*VLOOKUP(H12,'Lists &amp; Calculations'!$I$2:$J$6,2,FALSE()),"")</f>
        <v/>
      </c>
      <c r="J12" s="24"/>
      <c r="K12" s="24"/>
      <c r="L12" s="24"/>
      <c r="M12" s="24"/>
    </row>
    <row r="13" customFormat="false" ht="15" hidden="false" customHeight="true" outlineLevel="0" collapsed="false">
      <c r="B13" s="24" t="s">
        <v>160</v>
      </c>
      <c r="C13" s="24"/>
      <c r="D13" s="24"/>
      <c r="E13" s="24"/>
      <c r="F13" s="24"/>
      <c r="G13" s="24"/>
      <c r="H13" s="24"/>
      <c r="I13" s="44" t="str">
        <f aca="false">IF(AND(G13&lt;&gt;"",H13&lt;&gt;""),VLOOKUP(G13,'Lists &amp; Calculations'!$F$2:$G$5,2,FALSE())*VLOOKUP(H13,'Lists &amp; Calculations'!$I$2:$J$6,2,FALSE()),"")</f>
        <v/>
      </c>
      <c r="J13" s="24"/>
      <c r="K13" s="24"/>
      <c r="L13" s="24"/>
      <c r="M13" s="24"/>
    </row>
    <row r="14" customFormat="false" ht="15" hidden="false" customHeight="true" outlineLevel="0" collapsed="false">
      <c r="B14" s="24" t="s">
        <v>165</v>
      </c>
      <c r="C14" s="24"/>
      <c r="D14" s="24"/>
      <c r="E14" s="24"/>
      <c r="F14" s="24"/>
      <c r="G14" s="24"/>
      <c r="H14" s="24"/>
      <c r="I14" s="44" t="str">
        <f aca="false">IF(AND(G14&lt;&gt;"",H14&lt;&gt;""),VLOOKUP(G14,'Lists &amp; Calculations'!$F$2:$G$5,2,FALSE())*VLOOKUP(H14,'Lists &amp; Calculations'!$I$2:$J$6,2,FALSE()),"")</f>
        <v/>
      </c>
      <c r="J14" s="24"/>
      <c r="K14" s="24"/>
      <c r="L14" s="24"/>
      <c r="M14" s="24"/>
    </row>
    <row r="15" customFormat="false" ht="15" hidden="false" customHeight="true" outlineLevel="0" collapsed="false">
      <c r="B15" s="24" t="s">
        <v>169</v>
      </c>
      <c r="C15" s="24"/>
      <c r="D15" s="24"/>
      <c r="E15" s="24"/>
      <c r="F15" s="24"/>
      <c r="G15" s="24"/>
      <c r="H15" s="24"/>
      <c r="I15" s="44" t="str">
        <f aca="false">IF(AND(G15&lt;&gt;"",H15&lt;&gt;""),VLOOKUP(G15,'Lists &amp; Calculations'!$F$2:$G$5,2,FALSE())*VLOOKUP(H15,'Lists &amp; Calculations'!$I$2:$J$6,2,FALSE()),"")</f>
        <v/>
      </c>
      <c r="J15" s="24"/>
      <c r="K15" s="24"/>
      <c r="L15" s="24"/>
      <c r="M15" s="24"/>
    </row>
    <row r="16" customFormat="false" ht="15" hidden="false" customHeight="true" outlineLevel="0" collapsed="false">
      <c r="B16" s="24" t="s">
        <v>174</v>
      </c>
      <c r="C16" s="24"/>
      <c r="D16" s="24"/>
      <c r="E16" s="24"/>
      <c r="F16" s="24"/>
      <c r="G16" s="24"/>
      <c r="H16" s="24"/>
      <c r="I16" s="44" t="str">
        <f aca="false">IF(AND(G16&lt;&gt;"",H16&lt;&gt;""),VLOOKUP(G16,'Lists &amp; Calculations'!$F$2:$G$5,2,FALSE())*VLOOKUP(H16,'Lists &amp; Calculations'!$I$2:$J$6,2,FALSE()),"")</f>
        <v/>
      </c>
      <c r="J16" s="24"/>
      <c r="K16" s="24"/>
      <c r="L16" s="24"/>
      <c r="M16" s="24"/>
    </row>
    <row r="17" customFormat="false" ht="15" hidden="false" customHeight="true" outlineLevel="0" collapsed="false">
      <c r="B17" s="24" t="s">
        <v>178</v>
      </c>
      <c r="C17" s="24"/>
      <c r="D17" s="24"/>
      <c r="E17" s="24"/>
      <c r="F17" s="24"/>
      <c r="G17" s="24"/>
      <c r="H17" s="24"/>
      <c r="I17" s="44" t="str">
        <f aca="false">IF(AND(G17&lt;&gt;"",H17&lt;&gt;""),VLOOKUP(G17,'Lists &amp; Calculations'!$F$2:$G$5,2,FALSE())*VLOOKUP(H17,'Lists &amp; Calculations'!$I$2:$J$6,2,FALSE()),"")</f>
        <v/>
      </c>
      <c r="J17" s="24"/>
      <c r="K17" s="24"/>
      <c r="L17" s="24"/>
      <c r="M17" s="24"/>
    </row>
    <row r="18" customFormat="false" ht="15" hidden="false" customHeight="true" outlineLevel="0" collapsed="false">
      <c r="B18" s="24" t="s">
        <v>182</v>
      </c>
      <c r="C18" s="24"/>
      <c r="D18" s="24"/>
      <c r="E18" s="24"/>
      <c r="F18" s="24"/>
      <c r="G18" s="24"/>
      <c r="H18" s="24"/>
      <c r="I18" s="44" t="str">
        <f aca="false">IF(AND(G18&lt;&gt;"",H18&lt;&gt;""),VLOOKUP(G18,'Lists &amp; Calculations'!$F$2:$G$5,2,FALSE())*VLOOKUP(H18,'Lists &amp; Calculations'!$I$2:$J$6,2,FALSE()),"")</f>
        <v/>
      </c>
      <c r="J18" s="24"/>
      <c r="K18" s="24"/>
      <c r="L18" s="24"/>
      <c r="M18" s="24"/>
    </row>
    <row r="19" customFormat="false" ht="15" hidden="false" customHeight="true" outlineLevel="0" collapsed="false">
      <c r="B19" s="24" t="s">
        <v>186</v>
      </c>
      <c r="C19" s="24"/>
      <c r="D19" s="24"/>
      <c r="E19" s="24"/>
      <c r="F19" s="24"/>
      <c r="G19" s="24"/>
      <c r="H19" s="24"/>
      <c r="I19" s="44" t="str">
        <f aca="false">IF(AND(G19&lt;&gt;"",H19&lt;&gt;""),VLOOKUP(G19,'Lists &amp; Calculations'!$F$2:$G$5,2,FALSE())*VLOOKUP(H19,'Lists &amp; Calculations'!$I$2:$J$6,2,FALSE()),"")</f>
        <v/>
      </c>
      <c r="J19" s="24"/>
      <c r="K19" s="24"/>
      <c r="L19" s="24"/>
      <c r="M19" s="24"/>
    </row>
    <row r="20" customFormat="false" ht="15" hidden="false" customHeight="true" outlineLevel="0" collapsed="false">
      <c r="B20" s="24" t="s">
        <v>190</v>
      </c>
      <c r="C20" s="24"/>
      <c r="D20" s="24"/>
      <c r="E20" s="24"/>
      <c r="F20" s="24"/>
      <c r="G20" s="24"/>
      <c r="H20" s="24"/>
      <c r="I20" s="44" t="str">
        <f aca="false">IF(AND(G20&lt;&gt;"",H20&lt;&gt;""),VLOOKUP(G20,'Lists &amp; Calculations'!$F$2:$G$5,2,FALSE())*VLOOKUP(H20,'Lists &amp; Calculations'!$I$2:$J$6,2,FALSE()),"")</f>
        <v/>
      </c>
      <c r="J20" s="24"/>
      <c r="K20" s="24"/>
      <c r="L20" s="24"/>
      <c r="M20" s="24"/>
    </row>
    <row r="21" customFormat="false" ht="15" hidden="false" customHeight="true" outlineLevel="0" collapsed="false">
      <c r="B21" s="24" t="s">
        <v>194</v>
      </c>
      <c r="C21" s="24"/>
      <c r="D21" s="24"/>
      <c r="E21" s="24"/>
      <c r="F21" s="24"/>
      <c r="G21" s="24"/>
      <c r="H21" s="24"/>
      <c r="I21" s="44" t="str">
        <f aca="false">IF(AND(G21&lt;&gt;"",H21&lt;&gt;""),VLOOKUP(G21,'Lists &amp; Calculations'!$F$2:$G$5,2,FALSE())*VLOOKUP(H21,'Lists &amp; Calculations'!$I$2:$J$6,2,FALSE()),"")</f>
        <v/>
      </c>
      <c r="J21" s="24"/>
      <c r="K21" s="24"/>
      <c r="L21" s="24"/>
      <c r="M21" s="24"/>
    </row>
    <row r="22" customFormat="false" ht="15" hidden="false" customHeight="true" outlineLevel="0" collapsed="false">
      <c r="B22" s="24" t="s">
        <v>198</v>
      </c>
      <c r="C22" s="24"/>
      <c r="D22" s="24"/>
      <c r="E22" s="24"/>
      <c r="F22" s="24"/>
      <c r="G22" s="24"/>
      <c r="H22" s="24"/>
      <c r="I22" s="44" t="str">
        <f aca="false">IF(AND(G22&lt;&gt;"",H22&lt;&gt;""),VLOOKUP(G22,'Lists &amp; Calculations'!$F$2:$G$5,2,FALSE())*VLOOKUP(H22,'Lists &amp; Calculations'!$I$2:$J$6,2,FALSE()),"")</f>
        <v/>
      </c>
      <c r="J22" s="24"/>
      <c r="K22" s="24"/>
      <c r="L22" s="24"/>
      <c r="M22" s="24"/>
    </row>
    <row r="23" customFormat="false" ht="15" hidden="false" customHeight="true" outlineLevel="0" collapsed="false">
      <c r="B23" s="24" t="s">
        <v>202</v>
      </c>
      <c r="C23" s="24"/>
      <c r="D23" s="24"/>
      <c r="E23" s="24"/>
      <c r="F23" s="24"/>
      <c r="G23" s="24"/>
      <c r="H23" s="24"/>
      <c r="I23" s="44" t="str">
        <f aca="false">IF(AND(G23&lt;&gt;"",H23&lt;&gt;""),VLOOKUP(G23,'Lists &amp; Calculations'!$F$2:$G$5,2,FALSE())*VLOOKUP(H23,'Lists &amp; Calculations'!$I$2:$J$6,2,FALSE()),"")</f>
        <v/>
      </c>
      <c r="J23" s="24"/>
      <c r="K23" s="24"/>
      <c r="L23" s="24"/>
      <c r="M23" s="24"/>
    </row>
    <row r="24" customFormat="false" ht="15" hidden="false" customHeight="true" outlineLevel="0" collapsed="false">
      <c r="B24" s="24" t="s">
        <v>206</v>
      </c>
      <c r="C24" s="24"/>
      <c r="D24" s="24"/>
      <c r="E24" s="24"/>
      <c r="F24" s="24"/>
      <c r="G24" s="24"/>
      <c r="H24" s="24"/>
      <c r="I24" s="44" t="str">
        <f aca="false">IF(AND(G24&lt;&gt;"",H24&lt;&gt;""),VLOOKUP(G24,'Lists &amp; Calculations'!$F$2:$G$5,2,FALSE())*VLOOKUP(H24,'Lists &amp; Calculations'!$I$2:$J$6,2,FALSE()),"")</f>
        <v/>
      </c>
      <c r="J24" s="24"/>
      <c r="K24" s="24"/>
      <c r="L24" s="24"/>
      <c r="M24" s="24"/>
    </row>
    <row r="25" customFormat="false" ht="15" hidden="false" customHeight="true" outlineLevel="0" collapsed="false">
      <c r="B25" s="24" t="s">
        <v>211</v>
      </c>
      <c r="C25" s="24"/>
      <c r="D25" s="24"/>
      <c r="E25" s="24"/>
      <c r="F25" s="24"/>
      <c r="G25" s="24"/>
      <c r="H25" s="24"/>
      <c r="I25" s="44" t="str">
        <f aca="false">IF(AND(G25&lt;&gt;"",H25&lt;&gt;""),VLOOKUP(G25,'Lists &amp; Calculations'!$F$2:$G$5,2,FALSE())*VLOOKUP(H25,'Lists &amp; Calculations'!$I$2:$J$6,2,FALSE()),"")</f>
        <v/>
      </c>
      <c r="J25" s="24"/>
      <c r="K25" s="24"/>
      <c r="L25" s="24"/>
      <c r="M25" s="24"/>
    </row>
    <row r="26" customFormat="false" ht="15" hidden="false" customHeight="true" outlineLevel="0" collapsed="false">
      <c r="B26" s="24" t="s">
        <v>215</v>
      </c>
      <c r="C26" s="24"/>
      <c r="D26" s="24"/>
      <c r="E26" s="24"/>
      <c r="F26" s="24"/>
      <c r="G26" s="24"/>
      <c r="H26" s="24"/>
      <c r="I26" s="44" t="str">
        <f aca="false">IF(AND(G26&lt;&gt;"",H26&lt;&gt;""),VLOOKUP(G26,'Lists &amp; Calculations'!$F$2:$G$5,2,FALSE())*VLOOKUP(H26,'Lists &amp; Calculations'!$I$2:$J$6,2,FALSE()),"")</f>
        <v/>
      </c>
      <c r="J26" s="24"/>
      <c r="K26" s="24"/>
      <c r="L26" s="24"/>
      <c r="M26" s="24"/>
    </row>
    <row r="27" customFormat="false" ht="15" hidden="false" customHeight="true" outlineLevel="0" collapsed="false">
      <c r="B27" s="24" t="s">
        <v>219</v>
      </c>
      <c r="C27" s="24"/>
      <c r="D27" s="24"/>
      <c r="E27" s="24"/>
      <c r="F27" s="24"/>
      <c r="G27" s="24"/>
      <c r="H27" s="24"/>
      <c r="I27" s="44" t="str">
        <f aca="false">IF(AND(G27&lt;&gt;"",H27&lt;&gt;""),VLOOKUP(G27,'Lists &amp; Calculations'!$F$2:$G$5,2,FALSE())*VLOOKUP(H27,'Lists &amp; Calculations'!$I$2:$J$6,2,FALSE()),"")</f>
        <v/>
      </c>
      <c r="J27" s="24"/>
      <c r="K27" s="24"/>
      <c r="L27" s="24"/>
      <c r="M27" s="24"/>
    </row>
    <row r="28" customFormat="false" ht="15" hidden="false" customHeight="true" outlineLevel="0" collapsed="false">
      <c r="B28" s="24" t="s">
        <v>223</v>
      </c>
      <c r="C28" s="24"/>
      <c r="D28" s="24"/>
      <c r="E28" s="24"/>
      <c r="F28" s="24"/>
      <c r="G28" s="24"/>
      <c r="H28" s="24"/>
      <c r="I28" s="44" t="str">
        <f aca="false">IF(AND(G28&lt;&gt;"",H28&lt;&gt;""),VLOOKUP(G28,'Lists &amp; Calculations'!$F$2:$G$5,2,FALSE())*VLOOKUP(H28,'Lists &amp; Calculations'!$I$2:$J$6,2,FALSE()),"")</f>
        <v/>
      </c>
      <c r="J28" s="24"/>
      <c r="K28" s="24"/>
      <c r="L28" s="24"/>
      <c r="M28" s="24"/>
    </row>
    <row r="29" customFormat="false" ht="15" hidden="false" customHeight="true" outlineLevel="0" collapsed="false">
      <c r="B29" s="24" t="s">
        <v>227</v>
      </c>
      <c r="C29" s="24"/>
      <c r="D29" s="24"/>
      <c r="E29" s="24"/>
      <c r="F29" s="24"/>
      <c r="G29" s="24"/>
      <c r="H29" s="24"/>
      <c r="I29" s="44" t="str">
        <f aca="false">IF(AND(G29&lt;&gt;"",H29&lt;&gt;""),VLOOKUP(G29,'Lists &amp; Calculations'!$F$2:$G$5,2,FALSE())*VLOOKUP(H29,'Lists &amp; Calculations'!$I$2:$J$6,2,FALSE()),"")</f>
        <v/>
      </c>
      <c r="J29" s="24"/>
      <c r="K29" s="24"/>
      <c r="L29" s="24"/>
      <c r="M29" s="24"/>
    </row>
    <row r="30" customFormat="false" ht="15" hidden="false" customHeight="true" outlineLevel="0" collapsed="false">
      <c r="B30" s="24" t="s">
        <v>231</v>
      </c>
      <c r="C30" s="24"/>
      <c r="D30" s="24"/>
      <c r="E30" s="24"/>
      <c r="F30" s="24"/>
      <c r="G30" s="24"/>
      <c r="H30" s="24"/>
      <c r="I30" s="44" t="str">
        <f aca="false">IF(AND(G30&lt;&gt;"",H30&lt;&gt;""),VLOOKUP(G30,'Lists &amp; Calculations'!$F$2:$G$5,2,FALSE())*VLOOKUP(H30,'Lists &amp; Calculations'!$I$2:$J$6,2,FALSE()),"")</f>
        <v/>
      </c>
      <c r="J30" s="24"/>
      <c r="K30" s="24"/>
      <c r="L30" s="24"/>
      <c r="M30" s="24"/>
    </row>
    <row r="31" customFormat="false" ht="15" hidden="false" customHeight="true" outlineLevel="0" collapsed="false">
      <c r="B31" s="24" t="s">
        <v>235</v>
      </c>
      <c r="C31" s="24"/>
      <c r="D31" s="24"/>
      <c r="E31" s="24"/>
      <c r="F31" s="24"/>
      <c r="G31" s="24"/>
      <c r="H31" s="24"/>
      <c r="I31" s="44" t="str">
        <f aca="false">IF(AND(G31&lt;&gt;"",H31&lt;&gt;""),VLOOKUP(G31,'Lists &amp; Calculations'!$F$2:$G$5,2,FALSE())*VLOOKUP(H31,'Lists &amp; Calculations'!$I$2:$J$6,2,FALSE()),"")</f>
        <v/>
      </c>
      <c r="J31" s="24"/>
      <c r="K31" s="24"/>
      <c r="L31" s="24"/>
      <c r="M31" s="24"/>
    </row>
    <row r="32" customFormat="false" ht="15" hidden="false" customHeight="true" outlineLevel="0" collapsed="false">
      <c r="B32" s="24" t="s">
        <v>239</v>
      </c>
      <c r="C32" s="24"/>
      <c r="D32" s="24"/>
      <c r="E32" s="24"/>
      <c r="F32" s="24"/>
      <c r="G32" s="24"/>
      <c r="H32" s="24"/>
      <c r="I32" s="44" t="str">
        <f aca="false">IF(AND(G32&lt;&gt;"",H32&lt;&gt;""),VLOOKUP(G32,'Lists &amp; Calculations'!$F$2:$G$5,2,FALSE())*VLOOKUP(H32,'Lists &amp; Calculations'!$I$2:$J$6,2,FALSE()),"")</f>
        <v/>
      </c>
      <c r="J32" s="24"/>
      <c r="K32" s="24"/>
      <c r="L32" s="24"/>
      <c r="M32" s="24"/>
    </row>
    <row r="33" customFormat="false" ht="15" hidden="false" customHeight="true" outlineLevel="0" collapsed="false">
      <c r="B33" s="24" t="s">
        <v>243</v>
      </c>
      <c r="C33" s="24"/>
      <c r="D33" s="24"/>
      <c r="E33" s="24"/>
      <c r="F33" s="24"/>
      <c r="G33" s="24"/>
      <c r="H33" s="24"/>
      <c r="I33" s="44" t="str">
        <f aca="false">IF(AND(G33&lt;&gt;"",H33&lt;&gt;""),VLOOKUP(G33,'Lists &amp; Calculations'!$F$2:$G$5,2,FALSE())*VLOOKUP(H33,'Lists &amp; Calculations'!$I$2:$J$6,2,FALSE()),"")</f>
        <v/>
      </c>
      <c r="J33" s="24"/>
      <c r="K33" s="24"/>
      <c r="L33" s="24"/>
      <c r="M33" s="24"/>
    </row>
    <row r="34" customFormat="false" ht="15" hidden="false" customHeight="true" outlineLevel="0" collapsed="false">
      <c r="B34" s="24" t="s">
        <v>247</v>
      </c>
      <c r="C34" s="24"/>
      <c r="D34" s="24"/>
      <c r="E34" s="24"/>
      <c r="F34" s="24"/>
      <c r="G34" s="24"/>
      <c r="H34" s="24"/>
      <c r="I34" s="44" t="str">
        <f aca="false">IF(AND(G34&lt;&gt;"",H34&lt;&gt;""),VLOOKUP(G34,'Lists &amp; Calculations'!$F$2:$G$5,2,FALSE())*VLOOKUP(H34,'Lists &amp; Calculations'!$I$2:$J$6,2,FALSE()),"")</f>
        <v/>
      </c>
      <c r="J34" s="24"/>
      <c r="K34" s="24"/>
      <c r="L34" s="24"/>
      <c r="M34" s="24"/>
    </row>
    <row r="35" customFormat="false" ht="15" hidden="false" customHeight="false" outlineLevel="0" collapsed="false">
      <c r="B35" s="24" t="s">
        <v>251</v>
      </c>
      <c r="C35" s="24"/>
      <c r="D35" s="24"/>
      <c r="E35" s="24"/>
      <c r="F35" s="24"/>
      <c r="G35" s="24"/>
      <c r="H35" s="24"/>
      <c r="I35" s="44" t="str">
        <f aca="false">IF(AND(G35&lt;&gt;"",H35&lt;&gt;""),VLOOKUP(G35,'Lists &amp; Calculations'!$F$2:$G$5,2,FALSE())*VLOOKUP(H35,'Lists &amp; Calculations'!$I$2:$J$6,2,FALSE()),"")</f>
        <v/>
      </c>
      <c r="J35" s="24"/>
      <c r="K35" s="24"/>
      <c r="L35" s="24"/>
      <c r="M35" s="24"/>
    </row>
    <row r="36" customFormat="false" ht="15" hidden="false" customHeight="false" outlineLevel="0" collapsed="false">
      <c r="B36" s="24" t="s">
        <v>255</v>
      </c>
      <c r="C36" s="24"/>
      <c r="D36" s="24"/>
      <c r="E36" s="24"/>
      <c r="F36" s="24"/>
      <c r="G36" s="24"/>
      <c r="H36" s="24"/>
      <c r="I36" s="44" t="str">
        <f aca="false">IF(AND(G36&lt;&gt;"",H36&lt;&gt;""),VLOOKUP(G36,'Lists &amp; Calculations'!$F$2:$G$5,2,FALSE())*VLOOKUP(H36,'Lists &amp; Calculations'!$I$2:$J$6,2,FALSE()),"")</f>
        <v/>
      </c>
      <c r="J36" s="24"/>
      <c r="K36" s="24"/>
      <c r="L36" s="24"/>
      <c r="M36" s="24"/>
    </row>
    <row r="37" customFormat="false" ht="15" hidden="false" customHeight="false" outlineLevel="0" collapsed="false">
      <c r="B37" s="24" t="s">
        <v>259</v>
      </c>
      <c r="C37" s="24"/>
      <c r="D37" s="24"/>
      <c r="E37" s="24"/>
      <c r="F37" s="24"/>
      <c r="G37" s="24"/>
      <c r="H37" s="24"/>
      <c r="I37" s="44" t="str">
        <f aca="false">IF(AND(G37&lt;&gt;"",H37&lt;&gt;""),VLOOKUP(G37,'Lists &amp; Calculations'!$F$2:$G$5,2,FALSE())*VLOOKUP(H37,'Lists &amp; Calculations'!$I$2:$J$6,2,FALSE()),"")</f>
        <v/>
      </c>
      <c r="J37" s="24"/>
      <c r="K37" s="24"/>
      <c r="L37" s="24"/>
      <c r="M37" s="24"/>
    </row>
    <row r="38" customFormat="false" ht="15" hidden="false" customHeight="false" outlineLevel="0" collapsed="false">
      <c r="B38" s="24" t="s">
        <v>263</v>
      </c>
      <c r="C38" s="24"/>
      <c r="D38" s="24"/>
      <c r="E38" s="24"/>
      <c r="F38" s="24"/>
      <c r="G38" s="24"/>
      <c r="H38" s="24"/>
      <c r="I38" s="44" t="str">
        <f aca="false">IF(AND(G38&lt;&gt;"",H38&lt;&gt;""),VLOOKUP(G38,'Lists &amp; Calculations'!$F$2:$G$5,2,FALSE())*VLOOKUP(H38,'Lists &amp; Calculations'!$I$2:$J$6,2,FALSE()),"")</f>
        <v/>
      </c>
      <c r="J38" s="24"/>
      <c r="K38" s="24"/>
      <c r="L38" s="24"/>
      <c r="M38" s="24"/>
    </row>
    <row r="39" customFormat="false" ht="15" hidden="false" customHeight="false" outlineLevel="0" collapsed="false">
      <c r="B39" s="24" t="s">
        <v>267</v>
      </c>
      <c r="C39" s="24"/>
      <c r="D39" s="24"/>
      <c r="E39" s="24"/>
      <c r="F39" s="24"/>
      <c r="G39" s="24"/>
      <c r="H39" s="24"/>
      <c r="I39" s="44" t="str">
        <f aca="false">IF(AND(G39&lt;&gt;"",H39&lt;&gt;""),VLOOKUP(G39,'Lists &amp; Calculations'!$F$2:$G$5,2,FALSE())*VLOOKUP(H39,'Lists &amp; Calculations'!$I$2:$J$6,2,FALSE()),"")</f>
        <v/>
      </c>
      <c r="J39" s="24"/>
      <c r="K39" s="24"/>
      <c r="L39" s="24"/>
      <c r="M39" s="24"/>
    </row>
    <row r="40" customFormat="false" ht="15" hidden="false" customHeight="false" outlineLevel="0" collapsed="false">
      <c r="B40" s="24" t="s">
        <v>271</v>
      </c>
      <c r="C40" s="24"/>
      <c r="D40" s="24"/>
      <c r="E40" s="24"/>
      <c r="F40" s="24"/>
      <c r="G40" s="24"/>
      <c r="H40" s="24"/>
      <c r="I40" s="44" t="str">
        <f aca="false">IF(AND(G40&lt;&gt;"",H40&lt;&gt;""),VLOOKUP(G40,'Lists &amp; Calculations'!$F$2:$G$5,2,FALSE())*VLOOKUP(H40,'Lists &amp; Calculations'!$I$2:$J$6,2,FALSE()),"")</f>
        <v/>
      </c>
      <c r="J40" s="24"/>
      <c r="K40" s="24"/>
      <c r="L40" s="24"/>
      <c r="M40" s="24"/>
    </row>
    <row r="41" customFormat="false" ht="15" hidden="false" customHeight="false" outlineLevel="0" collapsed="false">
      <c r="B41" s="24" t="s">
        <v>275</v>
      </c>
      <c r="C41" s="24"/>
      <c r="D41" s="24"/>
      <c r="E41" s="24"/>
      <c r="F41" s="24"/>
      <c r="G41" s="24"/>
      <c r="H41" s="24"/>
      <c r="I41" s="44" t="str">
        <f aca="false">IF(AND(G41&lt;&gt;"",H41&lt;&gt;""),VLOOKUP(G41,'Lists &amp; Calculations'!$F$2:$G$5,2,FALSE())*VLOOKUP(H41,'Lists &amp; Calculations'!$I$2:$J$6,2,FALSE()),"")</f>
        <v/>
      </c>
      <c r="J41" s="24"/>
      <c r="K41" s="24"/>
      <c r="L41" s="24"/>
      <c r="M41" s="24"/>
    </row>
    <row r="42" customFormat="false" ht="15" hidden="false" customHeight="false" outlineLevel="0" collapsed="false">
      <c r="B42" s="24" t="s">
        <v>279</v>
      </c>
      <c r="C42" s="24"/>
      <c r="D42" s="24"/>
      <c r="E42" s="24"/>
      <c r="F42" s="24"/>
      <c r="G42" s="24"/>
      <c r="H42" s="24"/>
      <c r="I42" s="44" t="str">
        <f aca="false">IF(AND(G42&lt;&gt;"",H42&lt;&gt;""),VLOOKUP(G42,'Lists &amp; Calculations'!$F$2:$G$5,2,FALSE())*VLOOKUP(H42,'Lists &amp; Calculations'!$I$2:$J$6,2,FALSE()),"")</f>
        <v/>
      </c>
      <c r="J42" s="24"/>
      <c r="K42" s="24"/>
      <c r="L42" s="24"/>
      <c r="M42" s="24"/>
    </row>
    <row r="43" customFormat="false" ht="15" hidden="false" customHeight="false" outlineLevel="0" collapsed="false">
      <c r="B43" s="24" t="s">
        <v>283</v>
      </c>
      <c r="C43" s="24"/>
      <c r="D43" s="24"/>
      <c r="E43" s="24"/>
      <c r="F43" s="24"/>
      <c r="G43" s="24"/>
      <c r="H43" s="24"/>
      <c r="I43" s="44" t="str">
        <f aca="false">IF(AND(G43&lt;&gt;"",H43&lt;&gt;""),VLOOKUP(G43,'Lists &amp; Calculations'!$F$2:$G$5,2,FALSE())*VLOOKUP(H43,'Lists &amp; Calculations'!$I$2:$J$6,2,FALSE()),"")</f>
        <v/>
      </c>
      <c r="J43" s="24"/>
      <c r="K43" s="24"/>
      <c r="L43" s="24"/>
      <c r="M43" s="24"/>
    </row>
    <row r="44" customFormat="false" ht="15" hidden="false" customHeight="false" outlineLevel="0" collapsed="false">
      <c r="B44" s="24" t="s">
        <v>287</v>
      </c>
      <c r="C44" s="24"/>
      <c r="D44" s="24"/>
      <c r="E44" s="24"/>
      <c r="F44" s="24"/>
      <c r="G44" s="24"/>
      <c r="H44" s="24"/>
      <c r="I44" s="44" t="str">
        <f aca="false">IF(AND(G44&lt;&gt;"",H44&lt;&gt;""),VLOOKUP(G44,'Lists &amp; Calculations'!$F$2:$G$5,2,FALSE())*VLOOKUP(H44,'Lists &amp; Calculations'!$I$2:$J$6,2,FALSE()),"")</f>
        <v/>
      </c>
      <c r="J44" s="24"/>
      <c r="K44" s="24"/>
      <c r="L44" s="24"/>
      <c r="M44" s="24"/>
    </row>
    <row r="45" customFormat="false" ht="15" hidden="false" customHeight="false" outlineLevel="0" collapsed="false">
      <c r="B45" s="24" t="s">
        <v>291</v>
      </c>
      <c r="C45" s="24"/>
      <c r="D45" s="24"/>
      <c r="E45" s="24"/>
      <c r="F45" s="24"/>
      <c r="G45" s="24"/>
      <c r="H45" s="24"/>
      <c r="I45" s="44" t="str">
        <f aca="false">IF(AND(G45&lt;&gt;"",H45&lt;&gt;""),VLOOKUP(G45,'Lists &amp; Calculations'!$F$2:$G$5,2,FALSE())*VLOOKUP(H45,'Lists &amp; Calculations'!$I$2:$J$6,2,FALSE()),"")</f>
        <v/>
      </c>
      <c r="J45" s="24"/>
      <c r="K45" s="24"/>
      <c r="L45" s="24"/>
      <c r="M45" s="24"/>
    </row>
    <row r="46" customFormat="false" ht="15" hidden="false" customHeight="false" outlineLevel="0" collapsed="false">
      <c r="B46" s="24" t="s">
        <v>295</v>
      </c>
      <c r="C46" s="24"/>
      <c r="D46" s="24"/>
      <c r="E46" s="24"/>
      <c r="F46" s="24"/>
      <c r="G46" s="24"/>
      <c r="H46" s="24"/>
      <c r="I46" s="44" t="str">
        <f aca="false">IF(AND(G46&lt;&gt;"",H46&lt;&gt;""),VLOOKUP(G46,'Lists &amp; Calculations'!$F$2:$G$5,2,FALSE())*VLOOKUP(H46,'Lists &amp; Calculations'!$I$2:$J$6,2,FALSE()),"")</f>
        <v/>
      </c>
      <c r="J46" s="24"/>
      <c r="K46" s="24"/>
      <c r="L46" s="24"/>
      <c r="M46" s="24"/>
    </row>
    <row r="47" customFormat="false" ht="15" hidden="false" customHeight="false" outlineLevel="0" collapsed="false">
      <c r="B47" s="24" t="s">
        <v>299</v>
      </c>
      <c r="C47" s="24"/>
      <c r="D47" s="24"/>
      <c r="E47" s="24"/>
      <c r="F47" s="24"/>
      <c r="G47" s="24"/>
      <c r="H47" s="24"/>
      <c r="I47" s="44" t="str">
        <f aca="false">IF(AND(G47&lt;&gt;"",H47&lt;&gt;""),VLOOKUP(G47,'Lists &amp; Calculations'!$F$2:$G$5,2,FALSE())*VLOOKUP(H47,'Lists &amp; Calculations'!$I$2:$J$6,2,FALSE()),"")</f>
        <v/>
      </c>
      <c r="J47" s="24"/>
      <c r="K47" s="24"/>
      <c r="L47" s="24"/>
      <c r="M47" s="24"/>
    </row>
    <row r="48" customFormat="false" ht="15" hidden="false" customHeight="false" outlineLevel="0" collapsed="false">
      <c r="B48" s="24" t="s">
        <v>303</v>
      </c>
      <c r="C48" s="24"/>
      <c r="D48" s="24"/>
      <c r="E48" s="24"/>
      <c r="F48" s="24"/>
      <c r="G48" s="24"/>
      <c r="H48" s="24"/>
      <c r="I48" s="44" t="str">
        <f aca="false">IF(AND(G48&lt;&gt;"",H48&lt;&gt;""),VLOOKUP(G48,'Lists &amp; Calculations'!$F$2:$G$5,2,FALSE())*VLOOKUP(H48,'Lists &amp; Calculations'!$I$2:$J$6,2,FALSE()),"")</f>
        <v/>
      </c>
      <c r="J48" s="24"/>
      <c r="K48" s="24"/>
      <c r="L48" s="24"/>
      <c r="M48" s="24"/>
    </row>
    <row r="49" customFormat="false" ht="15" hidden="false" customHeight="false" outlineLevel="0" collapsed="false">
      <c r="B49" s="24" t="s">
        <v>307</v>
      </c>
      <c r="C49" s="24"/>
      <c r="D49" s="24"/>
      <c r="E49" s="24"/>
      <c r="F49" s="24"/>
      <c r="G49" s="24"/>
      <c r="H49" s="24"/>
      <c r="I49" s="44" t="str">
        <f aca="false">IF(AND(G49&lt;&gt;"",H49&lt;&gt;""),VLOOKUP(G49,'Lists &amp; Calculations'!$F$2:$G$5,2,FALSE())*VLOOKUP(H49,'Lists &amp; Calculations'!$I$2:$J$6,2,FALSE()),"")</f>
        <v/>
      </c>
      <c r="J49" s="24"/>
      <c r="K49" s="24"/>
      <c r="L49" s="24"/>
      <c r="M49" s="24"/>
    </row>
    <row r="50" customFormat="false" ht="15" hidden="false" customHeight="false" outlineLevel="0" collapsed="false">
      <c r="B50" s="24" t="s">
        <v>311</v>
      </c>
      <c r="C50" s="24"/>
      <c r="D50" s="24"/>
      <c r="E50" s="24"/>
      <c r="F50" s="24"/>
      <c r="G50" s="24"/>
      <c r="H50" s="24"/>
      <c r="I50" s="44" t="str">
        <f aca="false">IF(AND(G50&lt;&gt;"",H50&lt;&gt;""),VLOOKUP(G50,'Lists &amp; Calculations'!$F$2:$G$5,2,FALSE())*VLOOKUP(H50,'Lists &amp; Calculations'!$I$2:$J$6,2,FALSE()),"")</f>
        <v/>
      </c>
      <c r="J50" s="24"/>
      <c r="K50" s="24"/>
      <c r="L50" s="24"/>
      <c r="M50" s="24"/>
    </row>
    <row r="51" customFormat="false" ht="15" hidden="false" customHeight="false" outlineLevel="0" collapsed="false">
      <c r="B51" s="24" t="s">
        <v>315</v>
      </c>
      <c r="C51" s="24"/>
      <c r="D51" s="24"/>
      <c r="E51" s="24"/>
      <c r="F51" s="24"/>
      <c r="G51" s="24"/>
      <c r="H51" s="24"/>
      <c r="I51" s="44" t="str">
        <f aca="false">IF(AND(G51&lt;&gt;"",H51&lt;&gt;""),VLOOKUP(G51,'Lists &amp; Calculations'!$F$2:$G$5,2,FALSE())*VLOOKUP(H51,'Lists &amp; Calculations'!$I$2:$J$6,2,FALSE()),"")</f>
        <v/>
      </c>
      <c r="J51" s="24"/>
      <c r="K51" s="24"/>
      <c r="L51" s="24"/>
      <c r="M51" s="24"/>
    </row>
    <row r="52" customFormat="false" ht="15" hidden="false" customHeight="false" outlineLevel="0" collapsed="false">
      <c r="B52" s="24" t="s">
        <v>319</v>
      </c>
      <c r="C52" s="24"/>
      <c r="D52" s="24"/>
      <c r="E52" s="24"/>
      <c r="F52" s="24"/>
      <c r="G52" s="24"/>
      <c r="H52" s="24"/>
      <c r="I52" s="44" t="str">
        <f aca="false">IF(AND(G52&lt;&gt;"",H52&lt;&gt;""),VLOOKUP(G52,'Lists &amp; Calculations'!$F$2:$G$5,2,FALSE())*VLOOKUP(H52,'Lists &amp; Calculations'!$I$2:$J$6,2,FALSE()),"")</f>
        <v/>
      </c>
      <c r="J52" s="24"/>
      <c r="K52" s="24"/>
      <c r="L52" s="24"/>
      <c r="M52" s="24"/>
    </row>
    <row r="53" customFormat="false" ht="15" hidden="false" customHeight="false" outlineLevel="0" collapsed="false">
      <c r="B53" s="24" t="s">
        <v>323</v>
      </c>
      <c r="C53" s="24"/>
      <c r="D53" s="24"/>
      <c r="E53" s="24"/>
      <c r="F53" s="24"/>
      <c r="G53" s="24"/>
      <c r="H53" s="24"/>
      <c r="I53" s="44" t="str">
        <f aca="false">IF(AND(G53&lt;&gt;"",H53&lt;&gt;""),VLOOKUP(G53,'Lists &amp; Calculations'!$F$2:$G$5,2,FALSE())*VLOOKUP(H53,'Lists &amp; Calculations'!$I$2:$J$6,2,FALSE()),"")</f>
        <v/>
      </c>
      <c r="J53" s="24"/>
      <c r="K53" s="24"/>
      <c r="L53" s="24"/>
      <c r="M53" s="24"/>
    </row>
    <row r="54" customFormat="false" ht="15" hidden="false" customHeight="false" outlineLevel="0" collapsed="false">
      <c r="B54" s="24" t="s">
        <v>327</v>
      </c>
      <c r="C54" s="24"/>
      <c r="D54" s="24"/>
      <c r="E54" s="24"/>
      <c r="F54" s="24"/>
      <c r="G54" s="24"/>
      <c r="H54" s="24"/>
      <c r="I54" s="44" t="str">
        <f aca="false">IF(AND(G54&lt;&gt;"",H54&lt;&gt;""),VLOOKUP(G54,'Lists &amp; Calculations'!$F$2:$G$5,2,FALSE())*VLOOKUP(H54,'Lists &amp; Calculations'!$I$2:$J$6,2,FALSE()),"")</f>
        <v/>
      </c>
      <c r="J54" s="24"/>
      <c r="K54" s="24"/>
      <c r="L54" s="24"/>
      <c r="M54" s="24"/>
    </row>
  </sheetData>
  <autoFilter ref="B4:M54"/>
  <mergeCells count="1">
    <mergeCell ref="B2:M2"/>
  </mergeCells>
  <conditionalFormatting sqref="I5:I54">
    <cfRule type="colorScale" priority="2">
      <colorScale>
        <cfvo type="num" val="0"/>
        <cfvo type="num" val="8"/>
        <cfvo type="num" val="25"/>
        <color rgb="FF63BE7B"/>
        <color rgb="FFFFEB84"/>
        <color rgb="FFF8696B"/>
      </colorScale>
    </cfRule>
  </conditionalFormatting>
  <conditionalFormatting sqref="M5:M54">
    <cfRule type="cellIs" priority="3" operator="equal" aboveAverage="0" equalAverage="0" bottom="0" percent="0" rank="0" text="" dxfId="8">
      <formula>"Non-Compliant"</formula>
    </cfRule>
    <cfRule type="cellIs" priority="4" operator="equal" aboveAverage="0" equalAverage="0" bottom="0" percent="0" rank="0" text="" dxfId="10">
      <formula>"Complete"</formula>
    </cfRule>
  </conditionalFormatting>
  <dataValidations count="3">
    <dataValidation allowBlank="true" errorStyle="stop" operator="between" showDropDown="false" showErrorMessage="false" showInputMessage="false" sqref="G5:G54" type="list">
      <formula1>"Critical,High,Medium,Low"</formula1>
      <formula2>0</formula2>
    </dataValidation>
    <dataValidation allowBlank="true" errorStyle="stop" operator="between" showDropDown="false" showErrorMessage="false" showInputMessage="false" sqref="H5:H54" type="list">
      <formula1>"Almost Certain,Likely,Possible,Unlikely,Rare"</formula1>
      <formula2>0</formula2>
    </dataValidation>
    <dataValidation allowBlank="true" errorStyle="stop" operator="between" showDropDown="false" showErrorMessage="false" showInputMessage="false" sqref="M5:M54" type="list">
      <formula1>"Not Started,In Progress,Complete,Verified,Overdue"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3"/>
    <pageSetUpPr fitToPage="false"/>
  </sheetPr>
  <dimension ref="B2:O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3" min="2" style="1" width="10"/>
    <col collapsed="false" customWidth="true" hidden="false" outlineLevel="0" max="4" min="4" style="1" width="22"/>
    <col collapsed="false" customWidth="true" hidden="false" outlineLevel="0" max="5" min="5" style="1" width="30"/>
    <col collapsed="false" customWidth="true" hidden="false" outlineLevel="0" max="6" min="6" style="1" width="25"/>
    <col collapsed="false" customWidth="true" hidden="false" outlineLevel="0" max="8" min="7" style="1" width="30"/>
    <col collapsed="false" customWidth="true" hidden="false" outlineLevel="0" max="10" min="9" style="1" width="14"/>
    <col collapsed="false" customWidth="true" hidden="false" outlineLevel="0" max="11" min="11" style="1" width="12"/>
    <col collapsed="false" customWidth="true" hidden="false" outlineLevel="0" max="12" min="12" style="1" width="10"/>
    <col collapsed="false" customWidth="true" hidden="false" outlineLevel="0" max="13" min="13" style="1" width="20"/>
    <col collapsed="false" customWidth="true" hidden="false" outlineLevel="0" max="14" min="14" style="1" width="14"/>
    <col collapsed="false" customWidth="true" hidden="false" outlineLevel="0" max="15" min="15" style="1" width="25"/>
  </cols>
  <sheetData>
    <row r="2" customFormat="false" ht="24" hidden="false" customHeight="true" outlineLevel="0" collapsed="false">
      <c r="B2" s="10" t="s">
        <v>744</v>
      </c>
      <c r="C2" s="10"/>
      <c r="D2" s="10"/>
      <c r="E2" s="10"/>
      <c r="F2" s="10"/>
      <c r="G2" s="10"/>
      <c r="H2" s="10"/>
      <c r="I2" s="10"/>
      <c r="J2" s="10"/>
      <c r="K2" s="10"/>
      <c r="L2" s="10"/>
      <c r="M2" s="10"/>
      <c r="N2" s="10"/>
      <c r="O2" s="10"/>
    </row>
    <row r="4" customFormat="false" ht="27.75" hidden="false" customHeight="true" outlineLevel="0" collapsed="false">
      <c r="B4" s="23" t="s">
        <v>745</v>
      </c>
      <c r="C4" s="23" t="s">
        <v>113</v>
      </c>
      <c r="D4" s="23" t="s">
        <v>59</v>
      </c>
      <c r="E4" s="23" t="s">
        <v>746</v>
      </c>
      <c r="F4" s="23" t="s">
        <v>747</v>
      </c>
      <c r="G4" s="23" t="s">
        <v>748</v>
      </c>
      <c r="H4" s="23" t="s">
        <v>749</v>
      </c>
      <c r="I4" s="23" t="s">
        <v>122</v>
      </c>
      <c r="J4" s="23" t="s">
        <v>743</v>
      </c>
      <c r="K4" s="23" t="s">
        <v>56</v>
      </c>
      <c r="L4" s="23" t="s">
        <v>750</v>
      </c>
      <c r="M4" s="23" t="s">
        <v>751</v>
      </c>
      <c r="N4" s="23" t="s">
        <v>752</v>
      </c>
      <c r="O4" s="23" t="s">
        <v>124</v>
      </c>
    </row>
    <row r="5" customFormat="false" ht="15" hidden="false" customHeight="true" outlineLevel="0" collapsed="false">
      <c r="B5" s="24" t="s">
        <v>753</v>
      </c>
      <c r="C5" s="24"/>
      <c r="D5" s="24"/>
      <c r="E5" s="24"/>
      <c r="F5" s="24"/>
      <c r="G5" s="24"/>
      <c r="H5" s="24"/>
      <c r="I5" s="24"/>
      <c r="J5" s="24"/>
      <c r="K5" s="24"/>
      <c r="L5" s="24" t="str">
        <f aca="true">IF(AND(J5&lt;&gt;"",K5&lt;&gt;"",K5&lt;&gt;"Complete",K5&lt;&gt;"Verified",J5&lt;TODAY()),"OVERDUE","")</f>
        <v/>
      </c>
      <c r="M5" s="24"/>
      <c r="N5" s="24"/>
      <c r="O5" s="24"/>
    </row>
    <row r="6" customFormat="false" ht="15" hidden="false" customHeight="true" outlineLevel="0" collapsed="false">
      <c r="B6" s="24" t="s">
        <v>754</v>
      </c>
      <c r="C6" s="24"/>
      <c r="D6" s="24"/>
      <c r="E6" s="24"/>
      <c r="F6" s="24"/>
      <c r="G6" s="24"/>
      <c r="H6" s="24"/>
      <c r="I6" s="24"/>
      <c r="J6" s="24"/>
      <c r="K6" s="24"/>
      <c r="L6" s="24" t="str">
        <f aca="true">IF(AND(J6&lt;&gt;"",K6&lt;&gt;"",K6&lt;&gt;"Complete",K6&lt;&gt;"Verified",J6&lt;TODAY()),"OVERDUE","")</f>
        <v/>
      </c>
      <c r="M6" s="24"/>
      <c r="N6" s="24"/>
      <c r="O6" s="24"/>
    </row>
    <row r="7" customFormat="false" ht="15" hidden="false" customHeight="true" outlineLevel="0" collapsed="false">
      <c r="B7" s="24" t="s">
        <v>755</v>
      </c>
      <c r="C7" s="24"/>
      <c r="D7" s="24"/>
      <c r="E7" s="24"/>
      <c r="F7" s="24"/>
      <c r="G7" s="24"/>
      <c r="H7" s="24"/>
      <c r="I7" s="24"/>
      <c r="J7" s="24"/>
      <c r="K7" s="24"/>
      <c r="L7" s="24" t="str">
        <f aca="true">IF(AND(J7&lt;&gt;"",K7&lt;&gt;"",K7&lt;&gt;"Complete",K7&lt;&gt;"Verified",J7&lt;TODAY()),"OVERDUE","")</f>
        <v/>
      </c>
      <c r="M7" s="24"/>
      <c r="N7" s="24"/>
      <c r="O7" s="24"/>
    </row>
    <row r="8" customFormat="false" ht="15" hidden="false" customHeight="true" outlineLevel="0" collapsed="false">
      <c r="B8" s="24" t="s">
        <v>756</v>
      </c>
      <c r="C8" s="24"/>
      <c r="D8" s="24"/>
      <c r="E8" s="24"/>
      <c r="F8" s="24"/>
      <c r="G8" s="24"/>
      <c r="H8" s="24"/>
      <c r="I8" s="24"/>
      <c r="J8" s="24"/>
      <c r="K8" s="24"/>
      <c r="L8" s="24" t="str">
        <f aca="true">IF(AND(J8&lt;&gt;"",K8&lt;&gt;"",K8&lt;&gt;"Complete",K8&lt;&gt;"Verified",J8&lt;TODAY()),"OVERDUE","")</f>
        <v/>
      </c>
      <c r="M8" s="24"/>
      <c r="N8" s="24"/>
      <c r="O8" s="24"/>
    </row>
    <row r="9" customFormat="false" ht="15" hidden="false" customHeight="true" outlineLevel="0" collapsed="false">
      <c r="B9" s="24" t="s">
        <v>757</v>
      </c>
      <c r="C9" s="24"/>
      <c r="D9" s="24"/>
      <c r="E9" s="24"/>
      <c r="F9" s="24"/>
      <c r="G9" s="24"/>
      <c r="H9" s="24"/>
      <c r="I9" s="24"/>
      <c r="J9" s="24"/>
      <c r="K9" s="24"/>
      <c r="L9" s="24" t="str">
        <f aca="true">IF(AND(J9&lt;&gt;"",K9&lt;&gt;"",K9&lt;&gt;"Complete",K9&lt;&gt;"Verified",J9&lt;TODAY()),"OVERDUE","")</f>
        <v/>
      </c>
      <c r="M9" s="24"/>
      <c r="N9" s="24"/>
      <c r="O9" s="24"/>
    </row>
    <row r="10" customFormat="false" ht="15" hidden="false" customHeight="true" outlineLevel="0" collapsed="false">
      <c r="B10" s="24" t="s">
        <v>758</v>
      </c>
      <c r="C10" s="24"/>
      <c r="D10" s="24"/>
      <c r="E10" s="24"/>
      <c r="F10" s="24"/>
      <c r="G10" s="24"/>
      <c r="H10" s="24"/>
      <c r="I10" s="24"/>
      <c r="J10" s="24"/>
      <c r="K10" s="24"/>
      <c r="L10" s="24" t="str">
        <f aca="true">IF(AND(J10&lt;&gt;"",K10&lt;&gt;"",K10&lt;&gt;"Complete",K10&lt;&gt;"Verified",J10&lt;TODAY()),"OVERDUE","")</f>
        <v/>
      </c>
      <c r="M10" s="24"/>
      <c r="N10" s="24"/>
      <c r="O10" s="24"/>
    </row>
    <row r="11" customFormat="false" ht="15" hidden="false" customHeight="true" outlineLevel="0" collapsed="false">
      <c r="B11" s="24" t="s">
        <v>759</v>
      </c>
      <c r="C11" s="24"/>
      <c r="D11" s="24"/>
      <c r="E11" s="24"/>
      <c r="F11" s="24"/>
      <c r="G11" s="24"/>
      <c r="H11" s="24"/>
      <c r="I11" s="24"/>
      <c r="J11" s="24"/>
      <c r="K11" s="24"/>
      <c r="L11" s="24" t="str">
        <f aca="true">IF(AND(J11&lt;&gt;"",K11&lt;&gt;"",K11&lt;&gt;"Complete",K11&lt;&gt;"Verified",J11&lt;TODAY()),"OVERDUE","")</f>
        <v/>
      </c>
      <c r="M11" s="24"/>
      <c r="N11" s="24"/>
      <c r="O11" s="24"/>
    </row>
    <row r="12" customFormat="false" ht="15" hidden="false" customHeight="true" outlineLevel="0" collapsed="false">
      <c r="B12" s="24" t="s">
        <v>760</v>
      </c>
      <c r="C12" s="24"/>
      <c r="D12" s="24"/>
      <c r="E12" s="24"/>
      <c r="F12" s="24"/>
      <c r="G12" s="24"/>
      <c r="H12" s="24"/>
      <c r="I12" s="24"/>
      <c r="J12" s="24"/>
      <c r="K12" s="24"/>
      <c r="L12" s="24" t="str">
        <f aca="true">IF(AND(J12&lt;&gt;"",K12&lt;&gt;"",K12&lt;&gt;"Complete",K12&lt;&gt;"Verified",J12&lt;TODAY()),"OVERDUE","")</f>
        <v/>
      </c>
      <c r="M12" s="24"/>
      <c r="N12" s="24"/>
      <c r="O12" s="24"/>
    </row>
    <row r="13" customFormat="false" ht="15" hidden="false" customHeight="true" outlineLevel="0" collapsed="false">
      <c r="B13" s="24" t="s">
        <v>761</v>
      </c>
      <c r="C13" s="24"/>
      <c r="D13" s="24"/>
      <c r="E13" s="24"/>
      <c r="F13" s="24"/>
      <c r="G13" s="24"/>
      <c r="H13" s="24"/>
      <c r="I13" s="24"/>
      <c r="J13" s="24"/>
      <c r="K13" s="24"/>
      <c r="L13" s="24" t="str">
        <f aca="true">IF(AND(J13&lt;&gt;"",K13&lt;&gt;"",K13&lt;&gt;"Complete",K13&lt;&gt;"Verified",J13&lt;TODAY()),"OVERDUE","")</f>
        <v/>
      </c>
      <c r="M13" s="24"/>
      <c r="N13" s="24"/>
      <c r="O13" s="24"/>
    </row>
    <row r="14" customFormat="false" ht="15" hidden="false" customHeight="true" outlineLevel="0" collapsed="false">
      <c r="B14" s="24" t="s">
        <v>762</v>
      </c>
      <c r="C14" s="24"/>
      <c r="D14" s="24"/>
      <c r="E14" s="24"/>
      <c r="F14" s="24"/>
      <c r="G14" s="24"/>
      <c r="H14" s="24"/>
      <c r="I14" s="24"/>
      <c r="J14" s="24"/>
      <c r="K14" s="24"/>
      <c r="L14" s="24" t="str">
        <f aca="true">IF(AND(J14&lt;&gt;"",K14&lt;&gt;"",K14&lt;&gt;"Complete",K14&lt;&gt;"Verified",J14&lt;TODAY()),"OVERDUE","")</f>
        <v/>
      </c>
      <c r="M14" s="24"/>
      <c r="N14" s="24"/>
      <c r="O14" s="24"/>
    </row>
    <row r="15" customFormat="false" ht="15" hidden="false" customHeight="true" outlineLevel="0" collapsed="false">
      <c r="B15" s="24" t="s">
        <v>763</v>
      </c>
      <c r="C15" s="24"/>
      <c r="D15" s="24"/>
      <c r="E15" s="24"/>
      <c r="F15" s="24"/>
      <c r="G15" s="24"/>
      <c r="H15" s="24"/>
      <c r="I15" s="24"/>
      <c r="J15" s="24"/>
      <c r="K15" s="24"/>
      <c r="L15" s="24" t="str">
        <f aca="true">IF(AND(J15&lt;&gt;"",K15&lt;&gt;"",K15&lt;&gt;"Complete",K15&lt;&gt;"Verified",J15&lt;TODAY()),"OVERDUE","")</f>
        <v/>
      </c>
      <c r="M15" s="24"/>
      <c r="N15" s="24"/>
      <c r="O15" s="24"/>
    </row>
    <row r="16" customFormat="false" ht="15" hidden="false" customHeight="true" outlineLevel="0" collapsed="false">
      <c r="B16" s="24" t="s">
        <v>764</v>
      </c>
      <c r="C16" s="24"/>
      <c r="D16" s="24"/>
      <c r="E16" s="24"/>
      <c r="F16" s="24"/>
      <c r="G16" s="24"/>
      <c r="H16" s="24"/>
      <c r="I16" s="24"/>
      <c r="J16" s="24"/>
      <c r="K16" s="24"/>
      <c r="L16" s="24" t="str">
        <f aca="true">IF(AND(J16&lt;&gt;"",K16&lt;&gt;"",K16&lt;&gt;"Complete",K16&lt;&gt;"Verified",J16&lt;TODAY()),"OVERDUE","")</f>
        <v/>
      </c>
      <c r="M16" s="24"/>
      <c r="N16" s="24"/>
      <c r="O16" s="24"/>
    </row>
    <row r="17" customFormat="false" ht="15" hidden="false" customHeight="true" outlineLevel="0" collapsed="false">
      <c r="B17" s="24" t="s">
        <v>765</v>
      </c>
      <c r="C17" s="24"/>
      <c r="D17" s="24"/>
      <c r="E17" s="24"/>
      <c r="F17" s="24"/>
      <c r="G17" s="24"/>
      <c r="H17" s="24"/>
      <c r="I17" s="24"/>
      <c r="J17" s="24"/>
      <c r="K17" s="24"/>
      <c r="L17" s="24" t="str">
        <f aca="true">IF(AND(J17&lt;&gt;"",K17&lt;&gt;"",K17&lt;&gt;"Complete",K17&lt;&gt;"Verified",J17&lt;TODAY()),"OVERDUE","")</f>
        <v/>
      </c>
      <c r="M17" s="24"/>
      <c r="N17" s="24"/>
      <c r="O17" s="24"/>
    </row>
    <row r="18" customFormat="false" ht="15" hidden="false" customHeight="true" outlineLevel="0" collapsed="false">
      <c r="B18" s="24" t="s">
        <v>766</v>
      </c>
      <c r="C18" s="24"/>
      <c r="D18" s="24"/>
      <c r="E18" s="24"/>
      <c r="F18" s="24"/>
      <c r="G18" s="24"/>
      <c r="H18" s="24"/>
      <c r="I18" s="24"/>
      <c r="J18" s="24"/>
      <c r="K18" s="24"/>
      <c r="L18" s="24" t="str">
        <f aca="true">IF(AND(J18&lt;&gt;"",K18&lt;&gt;"",K18&lt;&gt;"Complete",K18&lt;&gt;"Verified",J18&lt;TODAY()),"OVERDUE","")</f>
        <v/>
      </c>
      <c r="M18" s="24"/>
      <c r="N18" s="24"/>
      <c r="O18" s="24"/>
    </row>
    <row r="19" customFormat="false" ht="15" hidden="false" customHeight="true" outlineLevel="0" collapsed="false">
      <c r="B19" s="24" t="s">
        <v>767</v>
      </c>
      <c r="C19" s="24"/>
      <c r="D19" s="24"/>
      <c r="E19" s="24"/>
      <c r="F19" s="24"/>
      <c r="G19" s="24"/>
      <c r="H19" s="24"/>
      <c r="I19" s="24"/>
      <c r="J19" s="24"/>
      <c r="K19" s="24"/>
      <c r="L19" s="24" t="str">
        <f aca="true">IF(AND(J19&lt;&gt;"",K19&lt;&gt;"",K19&lt;&gt;"Complete",K19&lt;&gt;"Verified",J19&lt;TODAY()),"OVERDUE","")</f>
        <v/>
      </c>
      <c r="M19" s="24"/>
      <c r="N19" s="24"/>
      <c r="O19" s="24"/>
    </row>
    <row r="20" customFormat="false" ht="15" hidden="false" customHeight="true" outlineLevel="0" collapsed="false">
      <c r="B20" s="24" t="s">
        <v>768</v>
      </c>
      <c r="C20" s="24"/>
      <c r="D20" s="24"/>
      <c r="E20" s="24"/>
      <c r="F20" s="24"/>
      <c r="G20" s="24"/>
      <c r="H20" s="24"/>
      <c r="I20" s="24"/>
      <c r="J20" s="24"/>
      <c r="K20" s="24"/>
      <c r="L20" s="24" t="str">
        <f aca="true">IF(AND(J20&lt;&gt;"",K20&lt;&gt;"",K20&lt;&gt;"Complete",K20&lt;&gt;"Verified",J20&lt;TODAY()),"OVERDUE","")</f>
        <v/>
      </c>
      <c r="M20" s="24"/>
      <c r="N20" s="24"/>
      <c r="O20" s="24"/>
    </row>
    <row r="21" customFormat="false" ht="15" hidden="false" customHeight="true" outlineLevel="0" collapsed="false">
      <c r="B21" s="24" t="s">
        <v>769</v>
      </c>
      <c r="C21" s="24"/>
      <c r="D21" s="24"/>
      <c r="E21" s="24"/>
      <c r="F21" s="24"/>
      <c r="G21" s="24"/>
      <c r="H21" s="24"/>
      <c r="I21" s="24"/>
      <c r="J21" s="24"/>
      <c r="K21" s="24"/>
      <c r="L21" s="24" t="str">
        <f aca="true">IF(AND(J21&lt;&gt;"",K21&lt;&gt;"",K21&lt;&gt;"Complete",K21&lt;&gt;"Verified",J21&lt;TODAY()),"OVERDUE","")</f>
        <v/>
      </c>
      <c r="M21" s="24"/>
      <c r="N21" s="24"/>
      <c r="O21" s="24"/>
    </row>
    <row r="22" customFormat="false" ht="15" hidden="false" customHeight="true" outlineLevel="0" collapsed="false">
      <c r="B22" s="24" t="s">
        <v>770</v>
      </c>
      <c r="C22" s="24"/>
      <c r="D22" s="24"/>
      <c r="E22" s="24"/>
      <c r="F22" s="24"/>
      <c r="G22" s="24"/>
      <c r="H22" s="24"/>
      <c r="I22" s="24"/>
      <c r="J22" s="24"/>
      <c r="K22" s="24"/>
      <c r="L22" s="24" t="str">
        <f aca="true">IF(AND(J22&lt;&gt;"",K22&lt;&gt;"",K22&lt;&gt;"Complete",K22&lt;&gt;"Verified",J22&lt;TODAY()),"OVERDUE","")</f>
        <v/>
      </c>
      <c r="M22" s="24"/>
      <c r="N22" s="24"/>
      <c r="O22" s="24"/>
    </row>
    <row r="23" customFormat="false" ht="15" hidden="false" customHeight="true" outlineLevel="0" collapsed="false">
      <c r="B23" s="24" t="s">
        <v>771</v>
      </c>
      <c r="C23" s="24"/>
      <c r="D23" s="24"/>
      <c r="E23" s="24"/>
      <c r="F23" s="24"/>
      <c r="G23" s="24"/>
      <c r="H23" s="24"/>
      <c r="I23" s="24"/>
      <c r="J23" s="24"/>
      <c r="K23" s="24"/>
      <c r="L23" s="24" t="str">
        <f aca="true">IF(AND(J23&lt;&gt;"",K23&lt;&gt;"",K23&lt;&gt;"Complete",K23&lt;&gt;"Verified",J23&lt;TODAY()),"OVERDUE","")</f>
        <v/>
      </c>
      <c r="M23" s="24"/>
      <c r="N23" s="24"/>
      <c r="O23" s="24"/>
    </row>
    <row r="24" customFormat="false" ht="15" hidden="false" customHeight="true" outlineLevel="0" collapsed="false">
      <c r="B24" s="24" t="s">
        <v>772</v>
      </c>
      <c r="C24" s="24"/>
      <c r="D24" s="24"/>
      <c r="E24" s="24"/>
      <c r="F24" s="24"/>
      <c r="G24" s="24"/>
      <c r="H24" s="24"/>
      <c r="I24" s="24"/>
      <c r="J24" s="24"/>
      <c r="K24" s="24"/>
      <c r="L24" s="24" t="str">
        <f aca="true">IF(AND(J24&lt;&gt;"",K24&lt;&gt;"",K24&lt;&gt;"Complete",K24&lt;&gt;"Verified",J24&lt;TODAY()),"OVERDUE","")</f>
        <v/>
      </c>
      <c r="M24" s="24"/>
      <c r="N24" s="24"/>
      <c r="O24" s="24"/>
    </row>
    <row r="25" customFormat="false" ht="15" hidden="false" customHeight="true" outlineLevel="0" collapsed="false">
      <c r="B25" s="24" t="s">
        <v>773</v>
      </c>
      <c r="C25" s="24"/>
      <c r="D25" s="24"/>
      <c r="E25" s="24"/>
      <c r="F25" s="24"/>
      <c r="G25" s="24"/>
      <c r="H25" s="24"/>
      <c r="I25" s="24"/>
      <c r="J25" s="24"/>
      <c r="K25" s="24"/>
      <c r="L25" s="24" t="str">
        <f aca="true">IF(AND(J25&lt;&gt;"",K25&lt;&gt;"",K25&lt;&gt;"Complete",K25&lt;&gt;"Verified",J25&lt;TODAY()),"OVERDUE","")</f>
        <v/>
      </c>
      <c r="M25" s="24"/>
      <c r="N25" s="24"/>
      <c r="O25" s="24"/>
    </row>
    <row r="26" customFormat="false" ht="15" hidden="false" customHeight="true" outlineLevel="0" collapsed="false">
      <c r="B26" s="24" t="s">
        <v>774</v>
      </c>
      <c r="C26" s="24"/>
      <c r="D26" s="24"/>
      <c r="E26" s="24"/>
      <c r="F26" s="24"/>
      <c r="G26" s="24"/>
      <c r="H26" s="24"/>
      <c r="I26" s="24"/>
      <c r="J26" s="24"/>
      <c r="K26" s="24"/>
      <c r="L26" s="24" t="str">
        <f aca="true">IF(AND(J26&lt;&gt;"",K26&lt;&gt;"",K26&lt;&gt;"Complete",K26&lt;&gt;"Verified",J26&lt;TODAY()),"OVERDUE","")</f>
        <v/>
      </c>
      <c r="M26" s="24"/>
      <c r="N26" s="24"/>
      <c r="O26" s="24"/>
    </row>
    <row r="27" customFormat="false" ht="15" hidden="false" customHeight="true" outlineLevel="0" collapsed="false">
      <c r="B27" s="24" t="s">
        <v>775</v>
      </c>
      <c r="C27" s="24"/>
      <c r="D27" s="24"/>
      <c r="E27" s="24"/>
      <c r="F27" s="24"/>
      <c r="G27" s="24"/>
      <c r="H27" s="24"/>
      <c r="I27" s="24"/>
      <c r="J27" s="24"/>
      <c r="K27" s="24"/>
      <c r="L27" s="24" t="str">
        <f aca="true">IF(AND(J27&lt;&gt;"",K27&lt;&gt;"",K27&lt;&gt;"Complete",K27&lt;&gt;"Verified",J27&lt;TODAY()),"OVERDUE","")</f>
        <v/>
      </c>
      <c r="M27" s="24"/>
      <c r="N27" s="24"/>
      <c r="O27" s="24"/>
    </row>
    <row r="28" customFormat="false" ht="15" hidden="false" customHeight="true" outlineLevel="0" collapsed="false">
      <c r="B28" s="24" t="s">
        <v>776</v>
      </c>
      <c r="C28" s="24"/>
      <c r="D28" s="24"/>
      <c r="E28" s="24"/>
      <c r="F28" s="24"/>
      <c r="G28" s="24"/>
      <c r="H28" s="24"/>
      <c r="I28" s="24"/>
      <c r="J28" s="24"/>
      <c r="K28" s="24"/>
      <c r="L28" s="24" t="str">
        <f aca="true">IF(AND(J28&lt;&gt;"",K28&lt;&gt;"",K28&lt;&gt;"Complete",K28&lt;&gt;"Verified",J28&lt;TODAY()),"OVERDUE","")</f>
        <v/>
      </c>
      <c r="M28" s="24"/>
      <c r="N28" s="24"/>
      <c r="O28" s="24"/>
    </row>
    <row r="29" customFormat="false" ht="15" hidden="false" customHeight="true" outlineLevel="0" collapsed="false">
      <c r="B29" s="24" t="s">
        <v>777</v>
      </c>
      <c r="C29" s="24"/>
      <c r="D29" s="24"/>
      <c r="E29" s="24"/>
      <c r="F29" s="24"/>
      <c r="G29" s="24"/>
      <c r="H29" s="24"/>
      <c r="I29" s="24"/>
      <c r="J29" s="24"/>
      <c r="K29" s="24"/>
      <c r="L29" s="24" t="str">
        <f aca="true">IF(AND(J29&lt;&gt;"",K29&lt;&gt;"",K29&lt;&gt;"Complete",K29&lt;&gt;"Verified",J29&lt;TODAY()),"OVERDUE","")</f>
        <v/>
      </c>
      <c r="M29" s="24"/>
      <c r="N29" s="24"/>
      <c r="O29" s="24"/>
    </row>
    <row r="30" customFormat="false" ht="15" hidden="false" customHeight="true" outlineLevel="0" collapsed="false">
      <c r="B30" s="24" t="s">
        <v>778</v>
      </c>
      <c r="C30" s="24"/>
      <c r="D30" s="24"/>
      <c r="E30" s="24"/>
      <c r="F30" s="24"/>
      <c r="G30" s="24"/>
      <c r="H30" s="24"/>
      <c r="I30" s="24"/>
      <c r="J30" s="24"/>
      <c r="K30" s="24"/>
      <c r="L30" s="24" t="str">
        <f aca="true">IF(AND(J30&lt;&gt;"",K30&lt;&gt;"",K30&lt;&gt;"Complete",K30&lt;&gt;"Verified",J30&lt;TODAY()),"OVERDUE","")</f>
        <v/>
      </c>
      <c r="M30" s="24"/>
      <c r="N30" s="24"/>
      <c r="O30" s="24"/>
    </row>
    <row r="31" customFormat="false" ht="15" hidden="false" customHeight="true" outlineLevel="0" collapsed="false">
      <c r="B31" s="24" t="s">
        <v>779</v>
      </c>
      <c r="C31" s="24"/>
      <c r="D31" s="24"/>
      <c r="E31" s="24"/>
      <c r="F31" s="24"/>
      <c r="G31" s="24"/>
      <c r="H31" s="24"/>
      <c r="I31" s="24"/>
      <c r="J31" s="24"/>
      <c r="K31" s="24"/>
      <c r="L31" s="24" t="str">
        <f aca="true">IF(AND(J31&lt;&gt;"",K31&lt;&gt;"",K31&lt;&gt;"Complete",K31&lt;&gt;"Verified",J31&lt;TODAY()),"OVERDUE","")</f>
        <v/>
      </c>
      <c r="M31" s="24"/>
      <c r="N31" s="24"/>
      <c r="O31" s="24"/>
    </row>
    <row r="32" customFormat="false" ht="15" hidden="false" customHeight="true" outlineLevel="0" collapsed="false">
      <c r="B32" s="24" t="s">
        <v>780</v>
      </c>
      <c r="C32" s="24"/>
      <c r="D32" s="24"/>
      <c r="E32" s="24"/>
      <c r="F32" s="24"/>
      <c r="G32" s="24"/>
      <c r="H32" s="24"/>
      <c r="I32" s="24"/>
      <c r="J32" s="24"/>
      <c r="K32" s="24"/>
      <c r="L32" s="24" t="str">
        <f aca="true">IF(AND(J32&lt;&gt;"",K32&lt;&gt;"",K32&lt;&gt;"Complete",K32&lt;&gt;"Verified",J32&lt;TODAY()),"OVERDUE","")</f>
        <v/>
      </c>
      <c r="M32" s="24"/>
      <c r="N32" s="24"/>
      <c r="O32" s="24"/>
    </row>
    <row r="33" customFormat="false" ht="15" hidden="false" customHeight="true" outlineLevel="0" collapsed="false">
      <c r="B33" s="24" t="s">
        <v>781</v>
      </c>
      <c r="C33" s="24"/>
      <c r="D33" s="24"/>
      <c r="E33" s="24"/>
      <c r="F33" s="24"/>
      <c r="G33" s="24"/>
      <c r="H33" s="24"/>
      <c r="I33" s="24"/>
      <c r="J33" s="24"/>
      <c r="K33" s="24"/>
      <c r="L33" s="24" t="str">
        <f aca="true">IF(AND(J33&lt;&gt;"",K33&lt;&gt;"",K33&lt;&gt;"Complete",K33&lt;&gt;"Verified",J33&lt;TODAY()),"OVERDUE","")</f>
        <v/>
      </c>
      <c r="M33" s="24"/>
      <c r="N33" s="24"/>
      <c r="O33" s="24"/>
    </row>
    <row r="34" customFormat="false" ht="15" hidden="false" customHeight="true" outlineLevel="0" collapsed="false">
      <c r="B34" s="24" t="s">
        <v>782</v>
      </c>
      <c r="C34" s="24"/>
      <c r="D34" s="24"/>
      <c r="E34" s="24"/>
      <c r="F34" s="24"/>
      <c r="G34" s="24"/>
      <c r="H34" s="24"/>
      <c r="I34" s="24"/>
      <c r="J34" s="24"/>
      <c r="K34" s="24"/>
      <c r="L34" s="24" t="str">
        <f aca="true">IF(AND(J34&lt;&gt;"",K34&lt;&gt;"",K34&lt;&gt;"Complete",K34&lt;&gt;"Verified",J34&lt;TODAY()),"OVERDUE","")</f>
        <v/>
      </c>
      <c r="M34" s="24"/>
      <c r="N34" s="24"/>
      <c r="O34" s="24"/>
    </row>
    <row r="35" customFormat="false" ht="15" hidden="false" customHeight="false" outlineLevel="0" collapsed="false">
      <c r="B35" s="24" t="s">
        <v>783</v>
      </c>
      <c r="C35" s="24"/>
      <c r="D35" s="24"/>
      <c r="E35" s="24"/>
      <c r="F35" s="24"/>
      <c r="G35" s="24"/>
      <c r="H35" s="24"/>
      <c r="I35" s="24"/>
      <c r="J35" s="24"/>
      <c r="K35" s="24"/>
      <c r="L35" s="24" t="str">
        <f aca="true">IF(AND(J35&lt;&gt;"",K35&lt;&gt;"",K35&lt;&gt;"Complete",K35&lt;&gt;"Verified",J35&lt;TODAY()),"OVERDUE","")</f>
        <v/>
      </c>
      <c r="M35" s="24"/>
      <c r="N35" s="24"/>
      <c r="O35" s="24"/>
    </row>
    <row r="36" customFormat="false" ht="15" hidden="false" customHeight="false" outlineLevel="0" collapsed="false">
      <c r="B36" s="24" t="s">
        <v>784</v>
      </c>
      <c r="C36" s="24"/>
      <c r="D36" s="24"/>
      <c r="E36" s="24"/>
      <c r="F36" s="24"/>
      <c r="G36" s="24"/>
      <c r="H36" s="24"/>
      <c r="I36" s="24"/>
      <c r="J36" s="24"/>
      <c r="K36" s="24"/>
      <c r="L36" s="24" t="str">
        <f aca="true">IF(AND(J36&lt;&gt;"",K36&lt;&gt;"",K36&lt;&gt;"Complete",K36&lt;&gt;"Verified",J36&lt;TODAY()),"OVERDUE","")</f>
        <v/>
      </c>
      <c r="M36" s="24"/>
      <c r="N36" s="24"/>
      <c r="O36" s="24"/>
    </row>
    <row r="37" customFormat="false" ht="15" hidden="false" customHeight="false" outlineLevel="0" collapsed="false">
      <c r="B37" s="24" t="s">
        <v>785</v>
      </c>
      <c r="C37" s="24"/>
      <c r="D37" s="24"/>
      <c r="E37" s="24"/>
      <c r="F37" s="24"/>
      <c r="G37" s="24"/>
      <c r="H37" s="24"/>
      <c r="I37" s="24"/>
      <c r="J37" s="24"/>
      <c r="K37" s="24"/>
      <c r="L37" s="24" t="str">
        <f aca="true">IF(AND(J37&lt;&gt;"",K37&lt;&gt;"",K37&lt;&gt;"Complete",K37&lt;&gt;"Verified",J37&lt;TODAY()),"OVERDUE","")</f>
        <v/>
      </c>
      <c r="M37" s="24"/>
      <c r="N37" s="24"/>
      <c r="O37" s="24"/>
    </row>
    <row r="38" customFormat="false" ht="15" hidden="false" customHeight="false" outlineLevel="0" collapsed="false">
      <c r="B38" s="24" t="s">
        <v>786</v>
      </c>
      <c r="C38" s="24"/>
      <c r="D38" s="24"/>
      <c r="E38" s="24"/>
      <c r="F38" s="24"/>
      <c r="G38" s="24"/>
      <c r="H38" s="24"/>
      <c r="I38" s="24"/>
      <c r="J38" s="24"/>
      <c r="K38" s="24"/>
      <c r="L38" s="24" t="str">
        <f aca="true">IF(AND(J38&lt;&gt;"",K38&lt;&gt;"",K38&lt;&gt;"Complete",K38&lt;&gt;"Verified",J38&lt;TODAY()),"OVERDUE","")</f>
        <v/>
      </c>
      <c r="M38" s="24"/>
      <c r="N38" s="24"/>
      <c r="O38" s="24"/>
    </row>
    <row r="39" customFormat="false" ht="15" hidden="false" customHeight="false" outlineLevel="0" collapsed="false">
      <c r="B39" s="24" t="s">
        <v>787</v>
      </c>
      <c r="C39" s="24"/>
      <c r="D39" s="24"/>
      <c r="E39" s="24"/>
      <c r="F39" s="24"/>
      <c r="G39" s="24"/>
      <c r="H39" s="24"/>
      <c r="I39" s="24"/>
      <c r="J39" s="24"/>
      <c r="K39" s="24"/>
      <c r="L39" s="24" t="str">
        <f aca="true">IF(AND(J39&lt;&gt;"",K39&lt;&gt;"",K39&lt;&gt;"Complete",K39&lt;&gt;"Verified",J39&lt;TODAY()),"OVERDUE","")</f>
        <v/>
      </c>
      <c r="M39" s="24"/>
      <c r="N39" s="24"/>
      <c r="O39" s="24"/>
    </row>
    <row r="40" customFormat="false" ht="15" hidden="false" customHeight="false" outlineLevel="0" collapsed="false">
      <c r="B40" s="24" t="s">
        <v>788</v>
      </c>
      <c r="C40" s="24"/>
      <c r="D40" s="24"/>
      <c r="E40" s="24"/>
      <c r="F40" s="24"/>
      <c r="G40" s="24"/>
      <c r="H40" s="24"/>
      <c r="I40" s="24"/>
      <c r="J40" s="24"/>
      <c r="K40" s="24"/>
      <c r="L40" s="24" t="str">
        <f aca="true">IF(AND(J40&lt;&gt;"",K40&lt;&gt;"",K40&lt;&gt;"Complete",K40&lt;&gt;"Verified",J40&lt;TODAY()),"OVERDUE","")</f>
        <v/>
      </c>
      <c r="M40" s="24"/>
      <c r="N40" s="24"/>
      <c r="O40" s="24"/>
    </row>
    <row r="41" customFormat="false" ht="15" hidden="false" customHeight="false" outlineLevel="0" collapsed="false">
      <c r="B41" s="24" t="s">
        <v>789</v>
      </c>
      <c r="C41" s="24"/>
      <c r="D41" s="24"/>
      <c r="E41" s="24"/>
      <c r="F41" s="24"/>
      <c r="G41" s="24"/>
      <c r="H41" s="24"/>
      <c r="I41" s="24"/>
      <c r="J41" s="24"/>
      <c r="K41" s="24"/>
      <c r="L41" s="24" t="str">
        <f aca="true">IF(AND(J41&lt;&gt;"",K41&lt;&gt;"",K41&lt;&gt;"Complete",K41&lt;&gt;"Verified",J41&lt;TODAY()),"OVERDUE","")</f>
        <v/>
      </c>
      <c r="M41" s="24"/>
      <c r="N41" s="24"/>
      <c r="O41" s="24"/>
    </row>
    <row r="42" customFormat="false" ht="15" hidden="false" customHeight="false" outlineLevel="0" collapsed="false">
      <c r="B42" s="24" t="s">
        <v>790</v>
      </c>
      <c r="C42" s="24"/>
      <c r="D42" s="24"/>
      <c r="E42" s="24"/>
      <c r="F42" s="24"/>
      <c r="G42" s="24"/>
      <c r="H42" s="24"/>
      <c r="I42" s="24"/>
      <c r="J42" s="24"/>
      <c r="K42" s="24"/>
      <c r="L42" s="24" t="str">
        <f aca="true">IF(AND(J42&lt;&gt;"",K42&lt;&gt;"",K42&lt;&gt;"Complete",K42&lt;&gt;"Verified",J42&lt;TODAY()),"OVERDUE","")</f>
        <v/>
      </c>
      <c r="M42" s="24"/>
      <c r="N42" s="24"/>
      <c r="O42" s="24"/>
    </row>
    <row r="43" customFormat="false" ht="15" hidden="false" customHeight="false" outlineLevel="0" collapsed="false">
      <c r="B43" s="24" t="s">
        <v>791</v>
      </c>
      <c r="C43" s="24"/>
      <c r="D43" s="24"/>
      <c r="E43" s="24"/>
      <c r="F43" s="24"/>
      <c r="G43" s="24"/>
      <c r="H43" s="24"/>
      <c r="I43" s="24"/>
      <c r="J43" s="24"/>
      <c r="K43" s="24"/>
      <c r="L43" s="24" t="str">
        <f aca="true">IF(AND(J43&lt;&gt;"",K43&lt;&gt;"",K43&lt;&gt;"Complete",K43&lt;&gt;"Verified",J43&lt;TODAY()),"OVERDUE","")</f>
        <v/>
      </c>
      <c r="M43" s="24"/>
      <c r="N43" s="24"/>
      <c r="O43" s="24"/>
    </row>
    <row r="44" customFormat="false" ht="15" hidden="false" customHeight="false" outlineLevel="0" collapsed="false">
      <c r="B44" s="24" t="s">
        <v>792</v>
      </c>
      <c r="C44" s="24"/>
      <c r="D44" s="24"/>
      <c r="E44" s="24"/>
      <c r="F44" s="24"/>
      <c r="G44" s="24"/>
      <c r="H44" s="24"/>
      <c r="I44" s="24"/>
      <c r="J44" s="24"/>
      <c r="K44" s="24"/>
      <c r="L44" s="24" t="str">
        <f aca="true">IF(AND(J44&lt;&gt;"",K44&lt;&gt;"",K44&lt;&gt;"Complete",K44&lt;&gt;"Verified",J44&lt;TODAY()),"OVERDUE","")</f>
        <v/>
      </c>
      <c r="M44" s="24"/>
      <c r="N44" s="24"/>
      <c r="O44" s="24"/>
    </row>
    <row r="45" customFormat="false" ht="15" hidden="false" customHeight="false" outlineLevel="0" collapsed="false">
      <c r="B45" s="24" t="s">
        <v>793</v>
      </c>
      <c r="C45" s="24"/>
      <c r="D45" s="24"/>
      <c r="E45" s="24"/>
      <c r="F45" s="24"/>
      <c r="G45" s="24"/>
      <c r="H45" s="24"/>
      <c r="I45" s="24"/>
      <c r="J45" s="24"/>
      <c r="K45" s="24"/>
      <c r="L45" s="24" t="str">
        <f aca="true">IF(AND(J45&lt;&gt;"",K45&lt;&gt;"",K45&lt;&gt;"Complete",K45&lt;&gt;"Verified",J45&lt;TODAY()),"OVERDUE","")</f>
        <v/>
      </c>
      <c r="M45" s="24"/>
      <c r="N45" s="24"/>
      <c r="O45" s="24"/>
    </row>
    <row r="46" customFormat="false" ht="15" hidden="false" customHeight="false" outlineLevel="0" collapsed="false">
      <c r="B46" s="24" t="s">
        <v>794</v>
      </c>
      <c r="C46" s="24"/>
      <c r="D46" s="24"/>
      <c r="E46" s="24"/>
      <c r="F46" s="24"/>
      <c r="G46" s="24"/>
      <c r="H46" s="24"/>
      <c r="I46" s="24"/>
      <c r="J46" s="24"/>
      <c r="K46" s="24"/>
      <c r="L46" s="24" t="str">
        <f aca="true">IF(AND(J46&lt;&gt;"",K46&lt;&gt;"",K46&lt;&gt;"Complete",K46&lt;&gt;"Verified",J46&lt;TODAY()),"OVERDUE","")</f>
        <v/>
      </c>
      <c r="M46" s="24"/>
      <c r="N46" s="24"/>
      <c r="O46" s="24"/>
    </row>
    <row r="47" customFormat="false" ht="15" hidden="false" customHeight="false" outlineLevel="0" collapsed="false">
      <c r="B47" s="24" t="s">
        <v>795</v>
      </c>
      <c r="C47" s="24"/>
      <c r="D47" s="24"/>
      <c r="E47" s="24"/>
      <c r="F47" s="24"/>
      <c r="G47" s="24"/>
      <c r="H47" s="24"/>
      <c r="I47" s="24"/>
      <c r="J47" s="24"/>
      <c r="K47" s="24"/>
      <c r="L47" s="24" t="str">
        <f aca="true">IF(AND(J47&lt;&gt;"",K47&lt;&gt;"",K47&lt;&gt;"Complete",K47&lt;&gt;"Verified",J47&lt;TODAY()),"OVERDUE","")</f>
        <v/>
      </c>
      <c r="M47" s="24"/>
      <c r="N47" s="24"/>
      <c r="O47" s="24"/>
    </row>
    <row r="48" customFormat="false" ht="15" hidden="false" customHeight="false" outlineLevel="0" collapsed="false">
      <c r="B48" s="24" t="s">
        <v>796</v>
      </c>
      <c r="C48" s="24"/>
      <c r="D48" s="24"/>
      <c r="E48" s="24"/>
      <c r="F48" s="24"/>
      <c r="G48" s="24"/>
      <c r="H48" s="24"/>
      <c r="I48" s="24"/>
      <c r="J48" s="24"/>
      <c r="K48" s="24"/>
      <c r="L48" s="24" t="str">
        <f aca="true">IF(AND(J48&lt;&gt;"",K48&lt;&gt;"",K48&lt;&gt;"Complete",K48&lt;&gt;"Verified",J48&lt;TODAY()),"OVERDUE","")</f>
        <v/>
      </c>
      <c r="M48" s="24"/>
      <c r="N48" s="24"/>
      <c r="O48" s="24"/>
    </row>
    <row r="49" customFormat="false" ht="15" hidden="false" customHeight="false" outlineLevel="0" collapsed="false">
      <c r="B49" s="24" t="s">
        <v>797</v>
      </c>
      <c r="C49" s="24"/>
      <c r="D49" s="24"/>
      <c r="E49" s="24"/>
      <c r="F49" s="24"/>
      <c r="G49" s="24"/>
      <c r="H49" s="24"/>
      <c r="I49" s="24"/>
      <c r="J49" s="24"/>
      <c r="K49" s="24"/>
      <c r="L49" s="24" t="str">
        <f aca="true">IF(AND(J49&lt;&gt;"",K49&lt;&gt;"",K49&lt;&gt;"Complete",K49&lt;&gt;"Verified",J49&lt;TODAY()),"OVERDUE","")</f>
        <v/>
      </c>
      <c r="M49" s="24"/>
      <c r="N49" s="24"/>
      <c r="O49" s="24"/>
    </row>
    <row r="50" customFormat="false" ht="15" hidden="false" customHeight="false" outlineLevel="0" collapsed="false">
      <c r="B50" s="24" t="s">
        <v>798</v>
      </c>
      <c r="C50" s="24"/>
      <c r="D50" s="24"/>
      <c r="E50" s="24"/>
      <c r="F50" s="24"/>
      <c r="G50" s="24"/>
      <c r="H50" s="24"/>
      <c r="I50" s="24"/>
      <c r="J50" s="24"/>
      <c r="K50" s="24"/>
      <c r="L50" s="24" t="str">
        <f aca="true">IF(AND(J50&lt;&gt;"",K50&lt;&gt;"",K50&lt;&gt;"Complete",K50&lt;&gt;"Verified",J50&lt;TODAY()),"OVERDUE","")</f>
        <v/>
      </c>
      <c r="M50" s="24"/>
      <c r="N50" s="24"/>
      <c r="O50" s="24"/>
    </row>
    <row r="51" customFormat="false" ht="15" hidden="false" customHeight="false" outlineLevel="0" collapsed="false">
      <c r="B51" s="24" t="s">
        <v>799</v>
      </c>
      <c r="C51" s="24"/>
      <c r="D51" s="24"/>
      <c r="E51" s="24"/>
      <c r="F51" s="24"/>
      <c r="G51" s="24"/>
      <c r="H51" s="24"/>
      <c r="I51" s="24"/>
      <c r="J51" s="24"/>
      <c r="K51" s="24"/>
      <c r="L51" s="24" t="str">
        <f aca="true">IF(AND(J51&lt;&gt;"",K51&lt;&gt;"",K51&lt;&gt;"Complete",K51&lt;&gt;"Verified",J51&lt;TODAY()),"OVERDUE","")</f>
        <v/>
      </c>
      <c r="M51" s="24"/>
      <c r="N51" s="24"/>
      <c r="O51" s="24"/>
    </row>
    <row r="52" customFormat="false" ht="15" hidden="false" customHeight="false" outlineLevel="0" collapsed="false">
      <c r="B52" s="24" t="s">
        <v>800</v>
      </c>
      <c r="C52" s="24"/>
      <c r="D52" s="24"/>
      <c r="E52" s="24"/>
      <c r="F52" s="24"/>
      <c r="G52" s="24"/>
      <c r="H52" s="24"/>
      <c r="I52" s="24"/>
      <c r="J52" s="24"/>
      <c r="K52" s="24"/>
      <c r="L52" s="24" t="str">
        <f aca="true">IF(AND(J52&lt;&gt;"",K52&lt;&gt;"",K52&lt;&gt;"Complete",K52&lt;&gt;"Verified",J52&lt;TODAY()),"OVERDUE","")</f>
        <v/>
      </c>
      <c r="M52" s="24"/>
      <c r="N52" s="24"/>
      <c r="O52" s="24"/>
    </row>
    <row r="53" customFormat="false" ht="15" hidden="false" customHeight="false" outlineLevel="0" collapsed="false">
      <c r="B53" s="24" t="s">
        <v>801</v>
      </c>
      <c r="C53" s="24"/>
      <c r="D53" s="24"/>
      <c r="E53" s="24"/>
      <c r="F53" s="24"/>
      <c r="G53" s="24"/>
      <c r="H53" s="24"/>
      <c r="I53" s="24"/>
      <c r="J53" s="24"/>
      <c r="K53" s="24"/>
      <c r="L53" s="24" t="str">
        <f aca="true">IF(AND(J53&lt;&gt;"",K53&lt;&gt;"",K53&lt;&gt;"Complete",K53&lt;&gt;"Verified",J53&lt;TODAY()),"OVERDUE","")</f>
        <v/>
      </c>
      <c r="M53" s="24"/>
      <c r="N53" s="24"/>
      <c r="O53" s="24"/>
    </row>
    <row r="54" customFormat="false" ht="15" hidden="false" customHeight="false" outlineLevel="0" collapsed="false">
      <c r="B54" s="24" t="s">
        <v>802</v>
      </c>
      <c r="C54" s="24"/>
      <c r="D54" s="24"/>
      <c r="E54" s="24"/>
      <c r="F54" s="24"/>
      <c r="G54" s="24"/>
      <c r="H54" s="24"/>
      <c r="I54" s="24"/>
      <c r="J54" s="24"/>
      <c r="K54" s="24"/>
      <c r="L54" s="24" t="str">
        <f aca="true">IF(AND(J54&lt;&gt;"",K54&lt;&gt;"",K54&lt;&gt;"Complete",K54&lt;&gt;"Verified",J54&lt;TODAY()),"OVERDUE","")</f>
        <v/>
      </c>
      <c r="M54" s="24"/>
      <c r="N54" s="24"/>
      <c r="O54" s="24"/>
    </row>
  </sheetData>
  <autoFilter ref="B4:O54"/>
  <mergeCells count="1">
    <mergeCell ref="B2:O2"/>
  </mergeCells>
  <conditionalFormatting sqref="L5:L54">
    <cfRule type="cellIs" priority="2" operator="equal" aboveAverage="0" equalAverage="0" bottom="0" percent="0" rank="0" text="" dxfId="8">
      <formula>"OVERDUE"</formula>
    </cfRule>
  </conditionalFormatting>
  <conditionalFormatting sqref="K5:K54">
    <cfRule type="cellIs" priority="3" operator="equal" aboveAverage="0" equalAverage="0" bottom="0" percent="0" rank="0" text="" dxfId="10">
      <formula>"Complete"</formula>
    </cfRule>
  </conditionalFormatting>
  <dataValidations count="2">
    <dataValidation allowBlank="true" errorStyle="stop" operator="between" showDropDown="false" showErrorMessage="false" showInputMessage="false" sqref="K5:K54" type="list">
      <formula1>"Not Started,In Progress,Complete,Verified,Overdue"</formula1>
      <formula2>0</formula2>
    </dataValidation>
    <dataValidation allowBlank="true" errorStyle="stop" operator="between" showDropDown="false" showErrorMessage="false" showInputMessage="false" sqref="D5:D54" type="list">
      <formula1>lists &amp; calculations!$l$2:$l$25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1F3B"/>
    <pageSetUpPr fitToPage="false"/>
  </sheetPr>
  <dimension ref="B2: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30"/>
    <col collapsed="false" customWidth="true" hidden="false" outlineLevel="0" max="4" min="4" style="1" width="22"/>
    <col collapsed="false" customWidth="true" hidden="false" outlineLevel="0" max="5" min="5" style="1" width="18"/>
    <col collapsed="false" customWidth="true" hidden="false" outlineLevel="0" max="6" min="6" style="1" width="25"/>
    <col collapsed="false" customWidth="true" hidden="false" outlineLevel="0" max="9" min="7" style="1" width="14"/>
    <col collapsed="false" customWidth="true" hidden="false" outlineLevel="0" max="10" min="10" style="1" width="25"/>
  </cols>
  <sheetData>
    <row r="2" customFormat="false" ht="24" hidden="false" customHeight="true" outlineLevel="0" collapsed="false">
      <c r="B2" s="10" t="s">
        <v>803</v>
      </c>
      <c r="C2" s="10"/>
      <c r="D2" s="10"/>
      <c r="E2" s="10"/>
      <c r="F2" s="10"/>
      <c r="G2" s="10"/>
      <c r="H2" s="10"/>
      <c r="I2" s="10"/>
      <c r="J2" s="10"/>
    </row>
    <row r="4" customFormat="false" ht="27.75" hidden="false" customHeight="true" outlineLevel="0" collapsed="false">
      <c r="B4" s="23" t="s">
        <v>804</v>
      </c>
      <c r="C4" s="23" t="s">
        <v>805</v>
      </c>
      <c r="D4" s="23" t="s">
        <v>59</v>
      </c>
      <c r="E4" s="23" t="s">
        <v>806</v>
      </c>
      <c r="F4" s="23" t="s">
        <v>807</v>
      </c>
      <c r="G4" s="23" t="s">
        <v>122</v>
      </c>
      <c r="H4" s="23" t="s">
        <v>56</v>
      </c>
      <c r="I4" s="23" t="s">
        <v>808</v>
      </c>
      <c r="J4" s="23" t="s">
        <v>124</v>
      </c>
    </row>
    <row r="5" customFormat="false" ht="15" hidden="false" customHeight="true" outlineLevel="0" collapsed="false">
      <c r="B5" s="24" t="s">
        <v>809</v>
      </c>
      <c r="C5" s="24"/>
      <c r="D5" s="24"/>
      <c r="E5" s="24"/>
      <c r="F5" s="24"/>
      <c r="G5" s="24"/>
      <c r="H5" s="24"/>
      <c r="I5" s="24"/>
      <c r="J5" s="24"/>
    </row>
    <row r="6" customFormat="false" ht="15" hidden="false" customHeight="true" outlineLevel="0" collapsed="false">
      <c r="B6" s="24" t="s">
        <v>810</v>
      </c>
      <c r="C6" s="24"/>
      <c r="D6" s="24"/>
      <c r="E6" s="24"/>
      <c r="F6" s="24"/>
      <c r="G6" s="24"/>
      <c r="H6" s="24"/>
      <c r="I6" s="24"/>
      <c r="J6" s="24"/>
    </row>
    <row r="7" customFormat="false" ht="15" hidden="false" customHeight="true" outlineLevel="0" collapsed="false">
      <c r="B7" s="24" t="s">
        <v>811</v>
      </c>
      <c r="C7" s="24"/>
      <c r="D7" s="24"/>
      <c r="E7" s="24"/>
      <c r="F7" s="24"/>
      <c r="G7" s="24"/>
      <c r="H7" s="24"/>
      <c r="I7" s="24"/>
      <c r="J7" s="24"/>
    </row>
    <row r="8" customFormat="false" ht="15" hidden="false" customHeight="true" outlineLevel="0" collapsed="false">
      <c r="B8" s="24" t="s">
        <v>812</v>
      </c>
      <c r="C8" s="24"/>
      <c r="D8" s="24"/>
      <c r="E8" s="24"/>
      <c r="F8" s="24"/>
      <c r="G8" s="24"/>
      <c r="H8" s="24"/>
      <c r="I8" s="24"/>
      <c r="J8" s="24"/>
    </row>
    <row r="9" customFormat="false" ht="15" hidden="false" customHeight="true" outlineLevel="0" collapsed="false">
      <c r="B9" s="24" t="s">
        <v>813</v>
      </c>
      <c r="C9" s="24"/>
      <c r="D9" s="24"/>
      <c r="E9" s="24"/>
      <c r="F9" s="24"/>
      <c r="G9" s="24"/>
      <c r="H9" s="24"/>
      <c r="I9" s="24"/>
      <c r="J9" s="24"/>
    </row>
    <row r="10" customFormat="false" ht="15" hidden="false" customHeight="true" outlineLevel="0" collapsed="false">
      <c r="B10" s="24" t="s">
        <v>814</v>
      </c>
      <c r="C10" s="24"/>
      <c r="D10" s="24"/>
      <c r="E10" s="24"/>
      <c r="F10" s="24"/>
      <c r="G10" s="24"/>
      <c r="H10" s="24"/>
      <c r="I10" s="24"/>
      <c r="J10" s="24"/>
    </row>
    <row r="11" customFormat="false" ht="15" hidden="false" customHeight="true" outlineLevel="0" collapsed="false">
      <c r="B11" s="24" t="s">
        <v>815</v>
      </c>
      <c r="C11" s="24"/>
      <c r="D11" s="24"/>
      <c r="E11" s="24"/>
      <c r="F11" s="24"/>
      <c r="G11" s="24"/>
      <c r="H11" s="24"/>
      <c r="I11" s="24"/>
      <c r="J11" s="24"/>
    </row>
    <row r="12" customFormat="false" ht="15" hidden="false" customHeight="true" outlineLevel="0" collapsed="false">
      <c r="B12" s="24" t="s">
        <v>816</v>
      </c>
      <c r="C12" s="24"/>
      <c r="D12" s="24"/>
      <c r="E12" s="24"/>
      <c r="F12" s="24"/>
      <c r="G12" s="24"/>
      <c r="H12" s="24"/>
      <c r="I12" s="24"/>
      <c r="J12" s="24"/>
    </row>
    <row r="13" customFormat="false" ht="15" hidden="false" customHeight="true" outlineLevel="0" collapsed="false">
      <c r="B13" s="24" t="s">
        <v>817</v>
      </c>
      <c r="C13" s="24"/>
      <c r="D13" s="24"/>
      <c r="E13" s="24"/>
      <c r="F13" s="24"/>
      <c r="G13" s="24"/>
      <c r="H13" s="24"/>
      <c r="I13" s="24"/>
      <c r="J13" s="24"/>
    </row>
    <row r="14" customFormat="false" ht="15" hidden="false" customHeight="true" outlineLevel="0" collapsed="false">
      <c r="B14" s="24" t="s">
        <v>818</v>
      </c>
      <c r="C14" s="24"/>
      <c r="D14" s="24"/>
      <c r="E14" s="24"/>
      <c r="F14" s="24"/>
      <c r="G14" s="24"/>
      <c r="H14" s="24"/>
      <c r="I14" s="24"/>
      <c r="J14" s="24"/>
    </row>
    <row r="15" customFormat="false" ht="15" hidden="false" customHeight="true" outlineLevel="0" collapsed="false">
      <c r="B15" s="24" t="s">
        <v>819</v>
      </c>
      <c r="C15" s="24"/>
      <c r="D15" s="24"/>
      <c r="E15" s="24"/>
      <c r="F15" s="24"/>
      <c r="G15" s="24"/>
      <c r="H15" s="24"/>
      <c r="I15" s="24"/>
      <c r="J15" s="24"/>
    </row>
    <row r="16" customFormat="false" ht="15" hidden="false" customHeight="true" outlineLevel="0" collapsed="false">
      <c r="B16" s="24" t="s">
        <v>820</v>
      </c>
      <c r="C16" s="24"/>
      <c r="D16" s="24"/>
      <c r="E16" s="24"/>
      <c r="F16" s="24"/>
      <c r="G16" s="24"/>
      <c r="H16" s="24"/>
      <c r="I16" s="24"/>
      <c r="J16" s="24"/>
    </row>
    <row r="17" customFormat="false" ht="15" hidden="false" customHeight="true" outlineLevel="0" collapsed="false">
      <c r="B17" s="24" t="s">
        <v>821</v>
      </c>
      <c r="C17" s="24"/>
      <c r="D17" s="24"/>
      <c r="E17" s="24"/>
      <c r="F17" s="24"/>
      <c r="G17" s="24"/>
      <c r="H17" s="24"/>
      <c r="I17" s="24"/>
      <c r="J17" s="24"/>
    </row>
    <row r="18" customFormat="false" ht="15" hidden="false" customHeight="true" outlineLevel="0" collapsed="false">
      <c r="B18" s="24" t="s">
        <v>822</v>
      </c>
      <c r="C18" s="24"/>
      <c r="D18" s="24"/>
      <c r="E18" s="24"/>
      <c r="F18" s="24"/>
      <c r="G18" s="24"/>
      <c r="H18" s="24"/>
      <c r="I18" s="24"/>
      <c r="J18" s="24"/>
    </row>
    <row r="19" customFormat="false" ht="15" hidden="false" customHeight="true" outlineLevel="0" collapsed="false">
      <c r="B19" s="24" t="s">
        <v>823</v>
      </c>
      <c r="C19" s="24"/>
      <c r="D19" s="24"/>
      <c r="E19" s="24"/>
      <c r="F19" s="24"/>
      <c r="G19" s="24"/>
      <c r="H19" s="24"/>
      <c r="I19" s="24"/>
      <c r="J19" s="24"/>
    </row>
    <row r="20" customFormat="false" ht="15" hidden="false" customHeight="true" outlineLevel="0" collapsed="false">
      <c r="B20" s="24" t="s">
        <v>824</v>
      </c>
      <c r="C20" s="24"/>
      <c r="D20" s="24"/>
      <c r="E20" s="24"/>
      <c r="F20" s="24"/>
      <c r="G20" s="24"/>
      <c r="H20" s="24"/>
      <c r="I20" s="24"/>
      <c r="J20" s="24"/>
    </row>
    <row r="21" customFormat="false" ht="15" hidden="false" customHeight="true" outlineLevel="0" collapsed="false">
      <c r="B21" s="24" t="s">
        <v>825</v>
      </c>
      <c r="C21" s="24"/>
      <c r="D21" s="24"/>
      <c r="E21" s="24"/>
      <c r="F21" s="24"/>
      <c r="G21" s="24"/>
      <c r="H21" s="24"/>
      <c r="I21" s="24"/>
      <c r="J21" s="24"/>
    </row>
    <row r="22" customFormat="false" ht="15" hidden="false" customHeight="true" outlineLevel="0" collapsed="false">
      <c r="B22" s="24" t="s">
        <v>826</v>
      </c>
      <c r="C22" s="24"/>
      <c r="D22" s="24"/>
      <c r="E22" s="24"/>
      <c r="F22" s="24"/>
      <c r="G22" s="24"/>
      <c r="H22" s="24"/>
      <c r="I22" s="24"/>
      <c r="J22" s="24"/>
    </row>
    <row r="23" customFormat="false" ht="15" hidden="false" customHeight="true" outlineLevel="0" collapsed="false">
      <c r="B23" s="24" t="s">
        <v>827</v>
      </c>
      <c r="C23" s="24"/>
      <c r="D23" s="24"/>
      <c r="E23" s="24"/>
      <c r="F23" s="24"/>
      <c r="G23" s="24"/>
      <c r="H23" s="24"/>
      <c r="I23" s="24"/>
      <c r="J23" s="24"/>
    </row>
    <row r="24" customFormat="false" ht="15" hidden="false" customHeight="true" outlineLevel="0" collapsed="false">
      <c r="B24" s="24" t="s">
        <v>828</v>
      </c>
      <c r="C24" s="24"/>
      <c r="D24" s="24"/>
      <c r="E24" s="24"/>
      <c r="F24" s="24"/>
      <c r="G24" s="24"/>
      <c r="H24" s="24"/>
      <c r="I24" s="24"/>
      <c r="J24" s="24"/>
    </row>
    <row r="25" customFormat="false" ht="15" hidden="false" customHeight="true" outlineLevel="0" collapsed="false">
      <c r="B25" s="24" t="s">
        <v>829</v>
      </c>
      <c r="C25" s="24"/>
      <c r="D25" s="24"/>
      <c r="E25" s="24"/>
      <c r="F25" s="24"/>
      <c r="G25" s="24"/>
      <c r="H25" s="24"/>
      <c r="I25" s="24"/>
      <c r="J25" s="24"/>
    </row>
    <row r="26" customFormat="false" ht="15" hidden="false" customHeight="true" outlineLevel="0" collapsed="false">
      <c r="B26" s="24" t="s">
        <v>830</v>
      </c>
      <c r="C26" s="24"/>
      <c r="D26" s="24"/>
      <c r="E26" s="24"/>
      <c r="F26" s="24"/>
      <c r="G26" s="24"/>
      <c r="H26" s="24"/>
      <c r="I26" s="24"/>
      <c r="J26" s="24"/>
    </row>
    <row r="27" customFormat="false" ht="15" hidden="false" customHeight="true" outlineLevel="0" collapsed="false">
      <c r="B27" s="24" t="s">
        <v>831</v>
      </c>
      <c r="C27" s="24"/>
      <c r="D27" s="24"/>
      <c r="E27" s="24"/>
      <c r="F27" s="24"/>
      <c r="G27" s="24"/>
      <c r="H27" s="24"/>
      <c r="I27" s="24"/>
      <c r="J27" s="24"/>
    </row>
    <row r="28" customFormat="false" ht="15" hidden="false" customHeight="true" outlineLevel="0" collapsed="false">
      <c r="B28" s="24" t="s">
        <v>832</v>
      </c>
      <c r="C28" s="24"/>
      <c r="D28" s="24"/>
      <c r="E28" s="24"/>
      <c r="F28" s="24"/>
      <c r="G28" s="24"/>
      <c r="H28" s="24"/>
      <c r="I28" s="24"/>
      <c r="J28" s="24"/>
    </row>
    <row r="29" customFormat="false" ht="15" hidden="false" customHeight="true" outlineLevel="0" collapsed="false">
      <c r="B29" s="24" t="s">
        <v>833</v>
      </c>
      <c r="C29" s="24"/>
      <c r="D29" s="24"/>
      <c r="E29" s="24"/>
      <c r="F29" s="24"/>
      <c r="G29" s="24"/>
      <c r="H29" s="24"/>
      <c r="I29" s="24"/>
      <c r="J29" s="24"/>
    </row>
    <row r="30" customFormat="false" ht="15" hidden="false" customHeight="true" outlineLevel="0" collapsed="false">
      <c r="B30" s="24" t="s">
        <v>834</v>
      </c>
      <c r="C30" s="24"/>
      <c r="D30" s="24"/>
      <c r="E30" s="24"/>
      <c r="F30" s="24"/>
      <c r="G30" s="24"/>
      <c r="H30" s="24"/>
      <c r="I30" s="24"/>
      <c r="J30" s="24"/>
    </row>
    <row r="31" customFormat="false" ht="15" hidden="false" customHeight="true" outlineLevel="0" collapsed="false">
      <c r="B31" s="24" t="s">
        <v>835</v>
      </c>
      <c r="C31" s="24"/>
      <c r="D31" s="24"/>
      <c r="E31" s="24"/>
      <c r="F31" s="24"/>
      <c r="G31" s="24"/>
      <c r="H31" s="24"/>
      <c r="I31" s="24"/>
      <c r="J31" s="24"/>
    </row>
    <row r="32" customFormat="false" ht="15" hidden="false" customHeight="true" outlineLevel="0" collapsed="false">
      <c r="B32" s="24" t="s">
        <v>836</v>
      </c>
      <c r="C32" s="24"/>
      <c r="D32" s="24"/>
      <c r="E32" s="24"/>
      <c r="F32" s="24"/>
      <c r="G32" s="24"/>
      <c r="H32" s="24"/>
      <c r="I32" s="24"/>
      <c r="J32" s="24"/>
    </row>
    <row r="33" customFormat="false" ht="15" hidden="false" customHeight="true" outlineLevel="0" collapsed="false">
      <c r="B33" s="24" t="s">
        <v>837</v>
      </c>
      <c r="C33" s="24"/>
      <c r="D33" s="24"/>
      <c r="E33" s="24"/>
      <c r="F33" s="24"/>
      <c r="G33" s="24"/>
      <c r="H33" s="24"/>
      <c r="I33" s="24"/>
      <c r="J33" s="24"/>
    </row>
    <row r="34" customFormat="false" ht="15" hidden="false" customHeight="true" outlineLevel="0" collapsed="false">
      <c r="B34" s="24" t="s">
        <v>838</v>
      </c>
      <c r="C34" s="24"/>
      <c r="D34" s="24"/>
      <c r="E34" s="24"/>
      <c r="F34" s="24"/>
      <c r="G34" s="24"/>
      <c r="H34" s="24"/>
      <c r="I34" s="24"/>
      <c r="J34" s="24"/>
    </row>
    <row r="35" customFormat="false" ht="15" hidden="false" customHeight="true" outlineLevel="0" collapsed="false">
      <c r="B35" s="24" t="s">
        <v>839</v>
      </c>
      <c r="C35" s="24"/>
      <c r="D35" s="24"/>
      <c r="E35" s="24"/>
      <c r="F35" s="24"/>
      <c r="G35" s="24"/>
      <c r="H35" s="24"/>
      <c r="I35" s="24"/>
      <c r="J35" s="24"/>
    </row>
    <row r="36" customFormat="false" ht="15" hidden="false" customHeight="true" outlineLevel="0" collapsed="false">
      <c r="B36" s="24" t="s">
        <v>840</v>
      </c>
      <c r="C36" s="24"/>
      <c r="D36" s="24"/>
      <c r="E36" s="24"/>
      <c r="F36" s="24"/>
      <c r="G36" s="24"/>
      <c r="H36" s="24"/>
      <c r="I36" s="24"/>
      <c r="J36" s="24"/>
    </row>
    <row r="37" customFormat="false" ht="15" hidden="false" customHeight="true" outlineLevel="0" collapsed="false">
      <c r="B37" s="24" t="s">
        <v>841</v>
      </c>
      <c r="C37" s="24"/>
      <c r="D37" s="24"/>
      <c r="E37" s="24"/>
      <c r="F37" s="24"/>
      <c r="G37" s="24"/>
      <c r="H37" s="24"/>
      <c r="I37" s="24"/>
      <c r="J37" s="24"/>
    </row>
    <row r="38" customFormat="false" ht="15" hidden="false" customHeight="true" outlineLevel="0" collapsed="false">
      <c r="B38" s="24" t="s">
        <v>842</v>
      </c>
      <c r="C38" s="24"/>
      <c r="D38" s="24"/>
      <c r="E38" s="24"/>
      <c r="F38" s="24"/>
      <c r="G38" s="24"/>
      <c r="H38" s="24"/>
      <c r="I38" s="24"/>
      <c r="J38" s="24"/>
    </row>
    <row r="39" customFormat="false" ht="15" hidden="false" customHeight="true" outlineLevel="0" collapsed="false">
      <c r="B39" s="24" t="s">
        <v>843</v>
      </c>
      <c r="C39" s="24"/>
      <c r="D39" s="24"/>
      <c r="E39" s="24"/>
      <c r="F39" s="24"/>
      <c r="G39" s="24"/>
      <c r="H39" s="24"/>
      <c r="I39" s="24"/>
      <c r="J39" s="24"/>
    </row>
    <row r="40" customFormat="false" ht="15" hidden="false" customHeight="true" outlineLevel="0" collapsed="false">
      <c r="B40" s="24" t="s">
        <v>844</v>
      </c>
      <c r="C40" s="24"/>
      <c r="D40" s="24"/>
      <c r="E40" s="24"/>
      <c r="F40" s="24"/>
      <c r="G40" s="24"/>
      <c r="H40" s="24"/>
      <c r="I40" s="24"/>
      <c r="J40" s="24"/>
    </row>
    <row r="41" customFormat="false" ht="15" hidden="false" customHeight="true" outlineLevel="0" collapsed="false">
      <c r="B41" s="24" t="s">
        <v>845</v>
      </c>
      <c r="C41" s="24"/>
      <c r="D41" s="24"/>
      <c r="E41" s="24"/>
      <c r="F41" s="24"/>
      <c r="G41" s="24"/>
      <c r="H41" s="24"/>
      <c r="I41" s="24"/>
      <c r="J41" s="24"/>
    </row>
    <row r="42" customFormat="false" ht="15" hidden="false" customHeight="true" outlineLevel="0" collapsed="false">
      <c r="B42" s="24" t="s">
        <v>846</v>
      </c>
      <c r="C42" s="24"/>
      <c r="D42" s="24"/>
      <c r="E42" s="24"/>
      <c r="F42" s="24"/>
      <c r="G42" s="24"/>
      <c r="H42" s="24"/>
      <c r="I42" s="24"/>
      <c r="J42" s="24"/>
    </row>
    <row r="43" customFormat="false" ht="15" hidden="false" customHeight="true" outlineLevel="0" collapsed="false">
      <c r="B43" s="24" t="s">
        <v>847</v>
      </c>
      <c r="C43" s="24"/>
      <c r="D43" s="24"/>
      <c r="E43" s="24"/>
      <c r="F43" s="24"/>
      <c r="G43" s="24"/>
      <c r="H43" s="24"/>
      <c r="I43" s="24"/>
      <c r="J43" s="24"/>
    </row>
    <row r="44" customFormat="false" ht="15" hidden="false" customHeight="true" outlineLevel="0" collapsed="false">
      <c r="B44" s="24" t="s">
        <v>848</v>
      </c>
      <c r="C44" s="24"/>
      <c r="D44" s="24"/>
      <c r="E44" s="24"/>
      <c r="F44" s="24"/>
      <c r="G44" s="24"/>
      <c r="H44" s="24"/>
      <c r="I44" s="24"/>
      <c r="J44" s="24"/>
    </row>
    <row r="45" customFormat="false" ht="15" hidden="false" customHeight="false" outlineLevel="0" collapsed="false">
      <c r="B45" s="24" t="s">
        <v>849</v>
      </c>
      <c r="C45" s="24"/>
      <c r="D45" s="24"/>
      <c r="E45" s="24"/>
      <c r="F45" s="24"/>
      <c r="G45" s="24"/>
      <c r="H45" s="24"/>
      <c r="I45" s="24"/>
      <c r="J45" s="24"/>
    </row>
    <row r="46" customFormat="false" ht="15" hidden="false" customHeight="false" outlineLevel="0" collapsed="false">
      <c r="B46" s="24" t="s">
        <v>850</v>
      </c>
      <c r="C46" s="24"/>
      <c r="D46" s="24"/>
      <c r="E46" s="24"/>
      <c r="F46" s="24"/>
      <c r="G46" s="24"/>
      <c r="H46" s="24"/>
      <c r="I46" s="24"/>
      <c r="J46" s="24"/>
    </row>
    <row r="47" customFormat="false" ht="15" hidden="false" customHeight="false" outlineLevel="0" collapsed="false">
      <c r="B47" s="24" t="s">
        <v>851</v>
      </c>
      <c r="C47" s="24"/>
      <c r="D47" s="24"/>
      <c r="E47" s="24"/>
      <c r="F47" s="24"/>
      <c r="G47" s="24"/>
      <c r="H47" s="24"/>
      <c r="I47" s="24"/>
      <c r="J47" s="24"/>
    </row>
    <row r="48" customFormat="false" ht="15" hidden="false" customHeight="false" outlineLevel="0" collapsed="false">
      <c r="B48" s="24" t="s">
        <v>852</v>
      </c>
      <c r="C48" s="24"/>
      <c r="D48" s="24"/>
      <c r="E48" s="24"/>
      <c r="F48" s="24"/>
      <c r="G48" s="24"/>
      <c r="H48" s="24"/>
      <c r="I48" s="24"/>
      <c r="J48" s="24"/>
    </row>
    <row r="49" customFormat="false" ht="15" hidden="false" customHeight="false" outlineLevel="0" collapsed="false">
      <c r="B49" s="24" t="s">
        <v>853</v>
      </c>
      <c r="C49" s="24"/>
      <c r="D49" s="24"/>
      <c r="E49" s="24"/>
      <c r="F49" s="24"/>
      <c r="G49" s="24"/>
      <c r="H49" s="24"/>
      <c r="I49" s="24"/>
      <c r="J49" s="24"/>
    </row>
    <row r="50" customFormat="false" ht="15" hidden="false" customHeight="false" outlineLevel="0" collapsed="false">
      <c r="B50" s="24" t="s">
        <v>854</v>
      </c>
      <c r="C50" s="24"/>
      <c r="D50" s="24"/>
      <c r="E50" s="24"/>
      <c r="F50" s="24"/>
      <c r="G50" s="24"/>
      <c r="H50" s="24"/>
      <c r="I50" s="24"/>
      <c r="J50" s="24"/>
    </row>
    <row r="51" customFormat="false" ht="15" hidden="false" customHeight="false" outlineLevel="0" collapsed="false">
      <c r="B51" s="24" t="s">
        <v>855</v>
      </c>
      <c r="C51" s="24"/>
      <c r="D51" s="24"/>
      <c r="E51" s="24"/>
      <c r="F51" s="24"/>
      <c r="G51" s="24"/>
      <c r="H51" s="24"/>
      <c r="I51" s="24"/>
      <c r="J51" s="24"/>
    </row>
    <row r="52" customFormat="false" ht="15" hidden="false" customHeight="false" outlineLevel="0" collapsed="false">
      <c r="B52" s="24" t="s">
        <v>856</v>
      </c>
      <c r="C52" s="24"/>
      <c r="D52" s="24"/>
      <c r="E52" s="24"/>
      <c r="F52" s="24"/>
      <c r="G52" s="24"/>
      <c r="H52" s="24"/>
      <c r="I52" s="24"/>
      <c r="J52" s="24"/>
    </row>
    <row r="53" customFormat="false" ht="15" hidden="false" customHeight="false" outlineLevel="0" collapsed="false">
      <c r="B53" s="24" t="s">
        <v>857</v>
      </c>
      <c r="C53" s="24"/>
      <c r="D53" s="24"/>
      <c r="E53" s="24"/>
      <c r="F53" s="24"/>
      <c r="G53" s="24"/>
      <c r="H53" s="24"/>
      <c r="I53" s="24"/>
      <c r="J53" s="24"/>
    </row>
    <row r="54" customFormat="false" ht="15" hidden="false" customHeight="false" outlineLevel="0" collapsed="false">
      <c r="B54" s="24" t="s">
        <v>858</v>
      </c>
      <c r="C54" s="24"/>
      <c r="D54" s="24"/>
      <c r="E54" s="24"/>
      <c r="F54" s="24"/>
      <c r="G54" s="24"/>
      <c r="H54" s="24"/>
      <c r="I54" s="24"/>
      <c r="J54" s="24"/>
    </row>
    <row r="55" customFormat="false" ht="15" hidden="false" customHeight="false" outlineLevel="0" collapsed="false">
      <c r="B55" s="24" t="s">
        <v>859</v>
      </c>
      <c r="C55" s="24"/>
      <c r="D55" s="24"/>
      <c r="E55" s="24"/>
      <c r="F55" s="24"/>
      <c r="G55" s="24"/>
      <c r="H55" s="24"/>
      <c r="I55" s="24"/>
      <c r="J55" s="24"/>
    </row>
    <row r="56" customFormat="false" ht="15" hidden="false" customHeight="false" outlineLevel="0" collapsed="false">
      <c r="B56" s="24" t="s">
        <v>860</v>
      </c>
      <c r="C56" s="24"/>
      <c r="D56" s="24"/>
      <c r="E56" s="24"/>
      <c r="F56" s="24"/>
      <c r="G56" s="24"/>
      <c r="H56" s="24"/>
      <c r="I56" s="24"/>
      <c r="J56" s="24"/>
    </row>
    <row r="57" customFormat="false" ht="15" hidden="false" customHeight="false" outlineLevel="0" collapsed="false">
      <c r="B57" s="24" t="s">
        <v>861</v>
      </c>
      <c r="C57" s="24"/>
      <c r="D57" s="24"/>
      <c r="E57" s="24"/>
      <c r="F57" s="24"/>
      <c r="G57" s="24"/>
      <c r="H57" s="24"/>
      <c r="I57" s="24"/>
      <c r="J57" s="24"/>
    </row>
    <row r="58" customFormat="false" ht="15" hidden="false" customHeight="false" outlineLevel="0" collapsed="false">
      <c r="B58" s="24" t="s">
        <v>862</v>
      </c>
      <c r="C58" s="24"/>
      <c r="D58" s="24"/>
      <c r="E58" s="24"/>
      <c r="F58" s="24"/>
      <c r="G58" s="24"/>
      <c r="H58" s="24"/>
      <c r="I58" s="24"/>
      <c r="J58" s="24"/>
    </row>
    <row r="59" customFormat="false" ht="15" hidden="false" customHeight="false" outlineLevel="0" collapsed="false">
      <c r="B59" s="24" t="s">
        <v>863</v>
      </c>
      <c r="C59" s="24"/>
      <c r="D59" s="24"/>
      <c r="E59" s="24"/>
      <c r="F59" s="24"/>
      <c r="G59" s="24"/>
      <c r="H59" s="24"/>
      <c r="I59" s="24"/>
      <c r="J59" s="24"/>
    </row>
    <row r="60" customFormat="false" ht="15" hidden="false" customHeight="false" outlineLevel="0" collapsed="false">
      <c r="B60" s="24" t="s">
        <v>864</v>
      </c>
      <c r="C60" s="24"/>
      <c r="D60" s="24"/>
      <c r="E60" s="24"/>
      <c r="F60" s="24"/>
      <c r="G60" s="24"/>
      <c r="H60" s="24"/>
      <c r="I60" s="24"/>
      <c r="J60" s="24"/>
    </row>
    <row r="61" customFormat="false" ht="15" hidden="false" customHeight="false" outlineLevel="0" collapsed="false">
      <c r="B61" s="24" t="s">
        <v>865</v>
      </c>
      <c r="C61" s="24"/>
      <c r="D61" s="24"/>
      <c r="E61" s="24"/>
      <c r="F61" s="24"/>
      <c r="G61" s="24"/>
      <c r="H61" s="24"/>
      <c r="I61" s="24"/>
      <c r="J61" s="24"/>
    </row>
    <row r="62" customFormat="false" ht="15" hidden="false" customHeight="false" outlineLevel="0" collapsed="false">
      <c r="B62" s="24" t="s">
        <v>866</v>
      </c>
      <c r="C62" s="24"/>
      <c r="D62" s="24"/>
      <c r="E62" s="24"/>
      <c r="F62" s="24"/>
      <c r="G62" s="24"/>
      <c r="H62" s="24"/>
      <c r="I62" s="24"/>
      <c r="J62" s="24"/>
    </row>
    <row r="63" customFormat="false" ht="15" hidden="false" customHeight="false" outlineLevel="0" collapsed="false">
      <c r="B63" s="24" t="s">
        <v>867</v>
      </c>
      <c r="C63" s="24"/>
      <c r="D63" s="24"/>
      <c r="E63" s="24"/>
      <c r="F63" s="24"/>
      <c r="G63" s="24"/>
      <c r="H63" s="24"/>
      <c r="I63" s="24"/>
      <c r="J63" s="24"/>
    </row>
    <row r="64" customFormat="false" ht="15" hidden="false" customHeight="false" outlineLevel="0" collapsed="false">
      <c r="B64" s="24" t="s">
        <v>868</v>
      </c>
      <c r="C64" s="24"/>
      <c r="D64" s="24"/>
      <c r="E64" s="24"/>
      <c r="F64" s="24"/>
      <c r="G64" s="24"/>
      <c r="H64" s="24"/>
      <c r="I64" s="24"/>
      <c r="J64" s="24"/>
    </row>
  </sheetData>
  <autoFilter ref="B4:J64"/>
  <mergeCells count="1">
    <mergeCell ref="B2:J2"/>
  </mergeCells>
  <conditionalFormatting sqref="H5:H64">
    <cfRule type="cellIs" priority="2" operator="equal" aboveAverage="0" equalAverage="0" bottom="0" percent="0" rank="0" text="" dxfId="8">
      <formula>"Missing"</formula>
    </cfRule>
    <cfRule type="cellIs" priority="3" operator="equal" aboveAverage="0" equalAverage="0" bottom="0" percent="0" rank="0" text="" dxfId="9">
      <formula>"Needs Update"</formula>
    </cfRule>
    <cfRule type="cellIs" priority="4" operator="equal" aboveAverage="0" equalAverage="0" bottom="0" percent="0" rank="0" text="" dxfId="10">
      <formula>"Current"</formula>
    </cfRule>
  </conditionalFormatting>
  <dataValidations count="2">
    <dataValidation allowBlank="true" errorStyle="stop" operator="between" showDropDown="false" showErrorMessage="false" showInputMessage="false" sqref="H5:H64" type="list">
      <formula1>"Current,Needs Update,Missing"</formula1>
      <formula2>0</formula2>
    </dataValidation>
    <dataValidation allowBlank="true" errorStyle="stop" operator="between" showDropDown="false" showErrorMessage="false" showInputMessage="false" sqref="D5:D64" type="list">
      <formula1>lists &amp; calculations!$l$2:$l$25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3"/>
    <pageSetUpPr fitToPage="false"/>
  </sheetPr>
  <dimension ref="B2: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5" min="3" style="1" width="18"/>
    <col collapsed="false" customWidth="true" hidden="false" outlineLevel="0" max="6" min="6" style="1" width="20"/>
    <col collapsed="false" customWidth="true" hidden="false" outlineLevel="0" max="9" min="7" style="1" width="14"/>
    <col collapsed="false" customWidth="true" hidden="false" outlineLevel="0" max="11" min="10" style="1" width="12"/>
    <col collapsed="false" customWidth="true" hidden="false" outlineLevel="0" max="12" min="12" style="1" width="25"/>
  </cols>
  <sheetData>
    <row r="2" customFormat="false" ht="24" hidden="false" customHeight="true" outlineLevel="0" collapsed="false">
      <c r="B2" s="10" t="s">
        <v>869</v>
      </c>
      <c r="C2" s="10"/>
      <c r="D2" s="10"/>
      <c r="E2" s="10"/>
      <c r="F2" s="10"/>
      <c r="G2" s="10"/>
      <c r="H2" s="10"/>
      <c r="I2" s="10"/>
      <c r="J2" s="10"/>
      <c r="K2" s="10"/>
    </row>
    <row r="4" customFormat="false" ht="54.75" hidden="false" customHeight="true" outlineLevel="0" collapsed="false">
      <c r="B4" s="23" t="s">
        <v>870</v>
      </c>
      <c r="C4" s="23" t="s">
        <v>871</v>
      </c>
      <c r="D4" s="23" t="s">
        <v>872</v>
      </c>
      <c r="E4" s="23" t="s">
        <v>873</v>
      </c>
      <c r="F4" s="23" t="s">
        <v>874</v>
      </c>
      <c r="G4" s="23" t="s">
        <v>875</v>
      </c>
      <c r="H4" s="23" t="s">
        <v>876</v>
      </c>
      <c r="I4" s="23" t="s">
        <v>877</v>
      </c>
      <c r="J4" s="23" t="s">
        <v>878</v>
      </c>
      <c r="K4" s="23" t="s">
        <v>56</v>
      </c>
      <c r="L4" s="23" t="s">
        <v>124</v>
      </c>
    </row>
    <row r="5" customFormat="false" ht="15" hidden="false" customHeight="true" outlineLevel="0" collapsed="false">
      <c r="B5" s="24" t="s">
        <v>879</v>
      </c>
      <c r="C5" s="24"/>
      <c r="D5" s="24"/>
      <c r="E5" s="24"/>
      <c r="F5" s="24"/>
      <c r="G5" s="24"/>
      <c r="H5" s="24"/>
      <c r="I5" s="24"/>
      <c r="J5" s="24"/>
      <c r="K5" s="24"/>
      <c r="L5" s="24"/>
    </row>
    <row r="6" customFormat="false" ht="15" hidden="false" customHeight="true" outlineLevel="0" collapsed="false">
      <c r="B6" s="24" t="s">
        <v>880</v>
      </c>
      <c r="C6" s="24"/>
      <c r="D6" s="24"/>
      <c r="E6" s="24"/>
      <c r="F6" s="24"/>
      <c r="G6" s="24"/>
      <c r="H6" s="24"/>
      <c r="I6" s="24"/>
      <c r="J6" s="24"/>
      <c r="K6" s="24"/>
      <c r="L6" s="24"/>
    </row>
    <row r="7" customFormat="false" ht="15" hidden="false" customHeight="true" outlineLevel="0" collapsed="false">
      <c r="B7" s="24" t="s">
        <v>881</v>
      </c>
      <c r="C7" s="24"/>
      <c r="D7" s="24"/>
      <c r="E7" s="24"/>
      <c r="F7" s="24"/>
      <c r="G7" s="24"/>
      <c r="H7" s="24"/>
      <c r="I7" s="24"/>
      <c r="J7" s="24"/>
      <c r="K7" s="24"/>
      <c r="L7" s="24"/>
    </row>
    <row r="8" customFormat="false" ht="15" hidden="false" customHeight="true" outlineLevel="0" collapsed="false">
      <c r="B8" s="24" t="s">
        <v>882</v>
      </c>
      <c r="C8" s="24"/>
      <c r="D8" s="24"/>
      <c r="E8" s="24"/>
      <c r="F8" s="24"/>
      <c r="G8" s="24"/>
      <c r="H8" s="24"/>
      <c r="I8" s="24"/>
      <c r="J8" s="24"/>
      <c r="K8" s="24"/>
      <c r="L8" s="24"/>
    </row>
    <row r="9" customFormat="false" ht="15" hidden="false" customHeight="true" outlineLevel="0" collapsed="false">
      <c r="B9" s="24" t="s">
        <v>883</v>
      </c>
      <c r="C9" s="24"/>
      <c r="D9" s="24"/>
      <c r="E9" s="24"/>
      <c r="F9" s="24"/>
      <c r="G9" s="24"/>
      <c r="H9" s="24"/>
      <c r="I9" s="24"/>
      <c r="J9" s="24"/>
      <c r="K9" s="24"/>
      <c r="L9" s="24"/>
    </row>
    <row r="10" customFormat="false" ht="15" hidden="false" customHeight="true" outlineLevel="0" collapsed="false">
      <c r="B10" s="24" t="s">
        <v>884</v>
      </c>
      <c r="C10" s="24"/>
      <c r="D10" s="24"/>
      <c r="E10" s="24"/>
      <c r="F10" s="24"/>
      <c r="G10" s="24"/>
      <c r="H10" s="24"/>
      <c r="I10" s="24"/>
      <c r="J10" s="24"/>
      <c r="K10" s="24"/>
      <c r="L10" s="24"/>
    </row>
    <row r="11" customFormat="false" ht="15" hidden="false" customHeight="true" outlineLevel="0" collapsed="false">
      <c r="B11" s="24" t="s">
        <v>885</v>
      </c>
      <c r="C11" s="24"/>
      <c r="D11" s="24"/>
      <c r="E11" s="24"/>
      <c r="F11" s="24"/>
      <c r="G11" s="24"/>
      <c r="H11" s="24"/>
      <c r="I11" s="24"/>
      <c r="J11" s="24"/>
      <c r="K11" s="24"/>
      <c r="L11" s="24"/>
    </row>
    <row r="12" customFormat="false" ht="15" hidden="false" customHeight="true" outlineLevel="0" collapsed="false">
      <c r="B12" s="24" t="s">
        <v>886</v>
      </c>
      <c r="C12" s="24"/>
      <c r="D12" s="24"/>
      <c r="E12" s="24"/>
      <c r="F12" s="24"/>
      <c r="G12" s="24"/>
      <c r="H12" s="24"/>
      <c r="I12" s="24"/>
      <c r="J12" s="24"/>
      <c r="K12" s="24"/>
      <c r="L12" s="24"/>
    </row>
    <row r="13" customFormat="false" ht="15" hidden="false" customHeight="true" outlineLevel="0" collapsed="false">
      <c r="B13" s="24" t="s">
        <v>887</v>
      </c>
      <c r="C13" s="24"/>
      <c r="D13" s="24"/>
      <c r="E13" s="24"/>
      <c r="F13" s="24"/>
      <c r="G13" s="24"/>
      <c r="H13" s="24"/>
      <c r="I13" s="24"/>
      <c r="J13" s="24"/>
      <c r="K13" s="24"/>
      <c r="L13" s="24"/>
    </row>
    <row r="14" customFormat="false" ht="15" hidden="false" customHeight="true" outlineLevel="0" collapsed="false">
      <c r="B14" s="24" t="s">
        <v>888</v>
      </c>
      <c r="C14" s="24"/>
      <c r="D14" s="24"/>
      <c r="E14" s="24"/>
      <c r="F14" s="24"/>
      <c r="G14" s="24"/>
      <c r="H14" s="24"/>
      <c r="I14" s="24"/>
      <c r="J14" s="24"/>
      <c r="K14" s="24"/>
      <c r="L14" s="24"/>
    </row>
    <row r="15" customFormat="false" ht="15" hidden="false" customHeight="true" outlineLevel="0" collapsed="false">
      <c r="B15" s="24" t="s">
        <v>889</v>
      </c>
      <c r="C15" s="24"/>
      <c r="D15" s="24"/>
      <c r="E15" s="24"/>
      <c r="F15" s="24"/>
      <c r="G15" s="24"/>
      <c r="H15" s="24"/>
      <c r="I15" s="24"/>
      <c r="J15" s="24"/>
      <c r="K15" s="24"/>
      <c r="L15" s="24"/>
    </row>
    <row r="16" customFormat="false" ht="15" hidden="false" customHeight="true" outlineLevel="0" collapsed="false">
      <c r="B16" s="24" t="s">
        <v>890</v>
      </c>
      <c r="C16" s="24"/>
      <c r="D16" s="24"/>
      <c r="E16" s="24"/>
      <c r="F16" s="24"/>
      <c r="G16" s="24"/>
      <c r="H16" s="24"/>
      <c r="I16" s="24"/>
      <c r="J16" s="24"/>
      <c r="K16" s="24"/>
      <c r="L16" s="24"/>
    </row>
    <row r="17" customFormat="false" ht="15" hidden="false" customHeight="true" outlineLevel="0" collapsed="false">
      <c r="B17" s="24" t="s">
        <v>891</v>
      </c>
      <c r="C17" s="24"/>
      <c r="D17" s="24"/>
      <c r="E17" s="24"/>
      <c r="F17" s="24"/>
      <c r="G17" s="24"/>
      <c r="H17" s="24"/>
      <c r="I17" s="24"/>
      <c r="J17" s="24"/>
      <c r="K17" s="24"/>
      <c r="L17" s="24"/>
    </row>
    <row r="18" customFormat="false" ht="15" hidden="false" customHeight="true" outlineLevel="0" collapsed="false">
      <c r="B18" s="24" t="s">
        <v>892</v>
      </c>
      <c r="C18" s="24"/>
      <c r="D18" s="24"/>
      <c r="E18" s="24"/>
      <c r="F18" s="24"/>
      <c r="G18" s="24"/>
      <c r="H18" s="24"/>
      <c r="I18" s="24"/>
      <c r="J18" s="24"/>
      <c r="K18" s="24"/>
      <c r="L18" s="24"/>
    </row>
    <row r="19" customFormat="false" ht="15" hidden="false" customHeight="true" outlineLevel="0" collapsed="false">
      <c r="B19" s="24" t="s">
        <v>893</v>
      </c>
      <c r="C19" s="24"/>
      <c r="D19" s="24"/>
      <c r="E19" s="24"/>
      <c r="F19" s="24"/>
      <c r="G19" s="24"/>
      <c r="H19" s="24"/>
      <c r="I19" s="24"/>
      <c r="J19" s="24"/>
      <c r="K19" s="24"/>
      <c r="L19" s="24"/>
    </row>
    <row r="20" customFormat="false" ht="15" hidden="false" customHeight="true" outlineLevel="0" collapsed="false">
      <c r="B20" s="24" t="s">
        <v>894</v>
      </c>
      <c r="C20" s="24"/>
      <c r="D20" s="24"/>
      <c r="E20" s="24"/>
      <c r="F20" s="24"/>
      <c r="G20" s="24"/>
      <c r="H20" s="24"/>
      <c r="I20" s="24"/>
      <c r="J20" s="24"/>
      <c r="K20" s="24"/>
      <c r="L20" s="24"/>
    </row>
    <row r="21" customFormat="false" ht="15" hidden="false" customHeight="true" outlineLevel="0" collapsed="false">
      <c r="B21" s="24" t="s">
        <v>895</v>
      </c>
      <c r="C21" s="24"/>
      <c r="D21" s="24"/>
      <c r="E21" s="24"/>
      <c r="F21" s="24"/>
      <c r="G21" s="24"/>
      <c r="H21" s="24"/>
      <c r="I21" s="24"/>
      <c r="J21" s="24"/>
      <c r="K21" s="24"/>
      <c r="L21" s="24"/>
    </row>
    <row r="22" customFormat="false" ht="15" hidden="false" customHeight="true" outlineLevel="0" collapsed="false">
      <c r="B22" s="24" t="s">
        <v>896</v>
      </c>
      <c r="C22" s="24"/>
      <c r="D22" s="24"/>
      <c r="E22" s="24"/>
      <c r="F22" s="24"/>
      <c r="G22" s="24"/>
      <c r="H22" s="24"/>
      <c r="I22" s="24"/>
      <c r="J22" s="24"/>
      <c r="K22" s="24"/>
      <c r="L22" s="24"/>
    </row>
    <row r="23" customFormat="false" ht="15" hidden="false" customHeight="true" outlineLevel="0" collapsed="false">
      <c r="B23" s="24" t="s">
        <v>897</v>
      </c>
      <c r="C23" s="24"/>
      <c r="D23" s="24"/>
      <c r="E23" s="24"/>
      <c r="F23" s="24"/>
      <c r="G23" s="24"/>
      <c r="H23" s="24"/>
      <c r="I23" s="24"/>
      <c r="J23" s="24"/>
      <c r="K23" s="24"/>
      <c r="L23" s="24"/>
    </row>
    <row r="24" customFormat="false" ht="15" hidden="false" customHeight="true" outlineLevel="0" collapsed="false">
      <c r="B24" s="24" t="s">
        <v>898</v>
      </c>
      <c r="C24" s="24"/>
      <c r="D24" s="24"/>
      <c r="E24" s="24"/>
      <c r="F24" s="24"/>
      <c r="G24" s="24"/>
      <c r="H24" s="24"/>
      <c r="I24" s="24"/>
      <c r="J24" s="24"/>
      <c r="K24" s="24"/>
      <c r="L24" s="24"/>
    </row>
    <row r="25" customFormat="false" ht="15" hidden="false" customHeight="true" outlineLevel="0" collapsed="false">
      <c r="B25" s="24" t="s">
        <v>899</v>
      </c>
      <c r="C25" s="24"/>
      <c r="D25" s="24"/>
      <c r="E25" s="24"/>
      <c r="F25" s="24"/>
      <c r="G25" s="24"/>
      <c r="H25" s="24"/>
      <c r="I25" s="24"/>
      <c r="J25" s="24"/>
      <c r="K25" s="24"/>
      <c r="L25" s="24"/>
    </row>
    <row r="26" customFormat="false" ht="15" hidden="false" customHeight="true" outlineLevel="0" collapsed="false">
      <c r="B26" s="24" t="s">
        <v>900</v>
      </c>
      <c r="C26" s="24"/>
      <c r="D26" s="24"/>
      <c r="E26" s="24"/>
      <c r="F26" s="24"/>
      <c r="G26" s="24"/>
      <c r="H26" s="24"/>
      <c r="I26" s="24"/>
      <c r="J26" s="24"/>
      <c r="K26" s="24"/>
      <c r="L26" s="24"/>
    </row>
    <row r="27" customFormat="false" ht="15" hidden="false" customHeight="true" outlineLevel="0" collapsed="false">
      <c r="B27" s="24" t="s">
        <v>901</v>
      </c>
      <c r="C27" s="24"/>
      <c r="D27" s="24"/>
      <c r="E27" s="24"/>
      <c r="F27" s="24"/>
      <c r="G27" s="24"/>
      <c r="H27" s="24"/>
      <c r="I27" s="24"/>
      <c r="J27" s="24"/>
      <c r="K27" s="24"/>
      <c r="L27" s="24"/>
    </row>
    <row r="28" customFormat="false" ht="15" hidden="false" customHeight="true" outlineLevel="0" collapsed="false">
      <c r="B28" s="24" t="s">
        <v>902</v>
      </c>
      <c r="C28" s="24"/>
      <c r="D28" s="24"/>
      <c r="E28" s="24"/>
      <c r="F28" s="24"/>
      <c r="G28" s="24"/>
      <c r="H28" s="24"/>
      <c r="I28" s="24"/>
      <c r="J28" s="24"/>
      <c r="K28" s="24"/>
      <c r="L28" s="24"/>
    </row>
    <row r="29" customFormat="false" ht="15" hidden="false" customHeight="true" outlineLevel="0" collapsed="false">
      <c r="B29" s="24" t="s">
        <v>903</v>
      </c>
      <c r="C29" s="24"/>
      <c r="D29" s="24"/>
      <c r="E29" s="24"/>
      <c r="F29" s="24"/>
      <c r="G29" s="24"/>
      <c r="H29" s="24"/>
      <c r="I29" s="24"/>
      <c r="J29" s="24"/>
      <c r="K29" s="24"/>
      <c r="L29" s="24"/>
    </row>
  </sheetData>
  <autoFilter ref="B4:L29"/>
  <mergeCells count="1">
    <mergeCell ref="B2:K2"/>
  </mergeCells>
  <conditionalFormatting sqref="K5:K29">
    <cfRule type="cellIs" priority="2" operator="equal" aboveAverage="0" equalAverage="0" bottom="0" percent="0" rank="0" text="" dxfId="11">
      <formula>"Non-Compliant"</formula>
    </cfRule>
    <cfRule type="cellIs" priority="3" operator="equal" aboveAverage="0" equalAverage="0" bottom="0" percent="0" rank="0" text="" dxfId="12">
      <formula>"Partial"</formula>
    </cfRule>
    <cfRule type="cellIs" priority="4" operator="equal" aboveAverage="0" equalAverage="0" bottom="0" percent="0" rank="0" text="" dxfId="13">
      <formula>"Compliant"</formula>
    </cfRule>
  </conditionalFormatting>
  <dataValidations count="1">
    <dataValidation allowBlank="true" errorStyle="stop" operator="between" prompt="Select status" promptTitle="Status" showDropDown="false" showErrorMessage="false" showInputMessage="false" sqref="K5:K29" type="list">
      <formula1>""compliant,partial,non-compliant,not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1F3B"/>
    <pageSetUpPr fitToPage="false"/>
  </sheetPr>
  <dimension ref="B2:M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22"/>
    <col collapsed="false" customWidth="true" hidden="false" outlineLevel="0" max="4" min="4" style="1" width="14"/>
    <col collapsed="false" customWidth="true" hidden="false" outlineLevel="0" max="5" min="5" style="1" width="18"/>
    <col collapsed="false" customWidth="true" hidden="false" outlineLevel="0" max="9" min="6" style="1" width="14"/>
    <col collapsed="false" customWidth="true" hidden="false" outlineLevel="0" max="10" min="10" style="1" width="16"/>
    <col collapsed="false" customWidth="true" hidden="false" outlineLevel="0" max="12" min="11" style="1" width="14"/>
    <col collapsed="false" customWidth="true" hidden="false" outlineLevel="0" max="13" min="13" style="1" width="25"/>
  </cols>
  <sheetData>
    <row r="2" customFormat="false" ht="24" hidden="false" customHeight="true" outlineLevel="0" collapsed="false">
      <c r="B2" s="10" t="s">
        <v>904</v>
      </c>
      <c r="C2" s="10"/>
      <c r="D2" s="10"/>
      <c r="E2" s="10"/>
      <c r="F2" s="10"/>
      <c r="G2" s="10"/>
      <c r="H2" s="10"/>
      <c r="I2" s="10"/>
      <c r="J2" s="10"/>
      <c r="K2" s="10"/>
      <c r="L2" s="10"/>
      <c r="M2" s="10"/>
    </row>
    <row r="4" customFormat="false" ht="27.75" hidden="false" customHeight="true" outlineLevel="0" collapsed="false">
      <c r="B4" s="23" t="s">
        <v>905</v>
      </c>
      <c r="C4" s="23" t="s">
        <v>906</v>
      </c>
      <c r="D4" s="23" t="s">
        <v>907</v>
      </c>
      <c r="E4" s="23" t="s">
        <v>873</v>
      </c>
      <c r="F4" s="23" t="s">
        <v>908</v>
      </c>
      <c r="G4" s="23" t="s">
        <v>909</v>
      </c>
      <c r="H4" s="23" t="s">
        <v>910</v>
      </c>
      <c r="I4" s="23" t="s">
        <v>911</v>
      </c>
      <c r="J4" s="23" t="s">
        <v>912</v>
      </c>
      <c r="K4" s="23" t="s">
        <v>913</v>
      </c>
      <c r="L4" s="23" t="s">
        <v>914</v>
      </c>
      <c r="M4" s="23" t="s">
        <v>124</v>
      </c>
    </row>
    <row r="5" customFormat="false" ht="15" hidden="false" customHeight="true" outlineLevel="0" collapsed="false">
      <c r="B5" s="24" t="s">
        <v>915</v>
      </c>
      <c r="C5" s="24"/>
      <c r="D5" s="24"/>
      <c r="E5" s="24"/>
      <c r="F5" s="24"/>
      <c r="G5" s="24"/>
      <c r="H5" s="24"/>
      <c r="I5" s="24"/>
      <c r="J5" s="24"/>
      <c r="K5" s="24"/>
      <c r="L5" s="24"/>
      <c r="M5" s="24"/>
    </row>
    <row r="6" customFormat="false" ht="15" hidden="false" customHeight="true" outlineLevel="0" collapsed="false">
      <c r="B6" s="24" t="s">
        <v>916</v>
      </c>
      <c r="C6" s="24"/>
      <c r="D6" s="24"/>
      <c r="E6" s="24"/>
      <c r="F6" s="24"/>
      <c r="G6" s="24"/>
      <c r="H6" s="24"/>
      <c r="I6" s="24"/>
      <c r="J6" s="24"/>
      <c r="K6" s="24"/>
      <c r="L6" s="24"/>
      <c r="M6" s="24"/>
    </row>
    <row r="7" customFormat="false" ht="15" hidden="false" customHeight="true" outlineLevel="0" collapsed="false">
      <c r="B7" s="24" t="s">
        <v>917</v>
      </c>
      <c r="C7" s="24"/>
      <c r="D7" s="24"/>
      <c r="E7" s="24"/>
      <c r="F7" s="24"/>
      <c r="G7" s="24"/>
      <c r="H7" s="24"/>
      <c r="I7" s="24"/>
      <c r="J7" s="24"/>
      <c r="K7" s="24"/>
      <c r="L7" s="24"/>
      <c r="M7" s="24"/>
    </row>
    <row r="8" customFormat="false" ht="15" hidden="false" customHeight="true" outlineLevel="0" collapsed="false">
      <c r="B8" s="24" t="s">
        <v>918</v>
      </c>
      <c r="C8" s="24"/>
      <c r="D8" s="24"/>
      <c r="E8" s="24"/>
      <c r="F8" s="24"/>
      <c r="G8" s="24"/>
      <c r="H8" s="24"/>
      <c r="I8" s="24"/>
      <c r="J8" s="24"/>
      <c r="K8" s="24"/>
      <c r="L8" s="24"/>
      <c r="M8" s="24"/>
    </row>
    <row r="9" customFormat="false" ht="15" hidden="false" customHeight="true" outlineLevel="0" collapsed="false">
      <c r="B9" s="24" t="s">
        <v>919</v>
      </c>
      <c r="C9" s="24"/>
      <c r="D9" s="24"/>
      <c r="E9" s="24"/>
      <c r="F9" s="24"/>
      <c r="G9" s="24"/>
      <c r="H9" s="24"/>
      <c r="I9" s="24"/>
      <c r="J9" s="24"/>
      <c r="K9" s="24"/>
      <c r="L9" s="24"/>
      <c r="M9" s="24"/>
    </row>
    <row r="10" customFormat="false" ht="15" hidden="false" customHeight="true" outlineLevel="0" collapsed="false">
      <c r="B10" s="24" t="s">
        <v>920</v>
      </c>
      <c r="C10" s="24"/>
      <c r="D10" s="24"/>
      <c r="E10" s="24"/>
      <c r="F10" s="24"/>
      <c r="G10" s="24"/>
      <c r="H10" s="24"/>
      <c r="I10" s="24"/>
      <c r="J10" s="24"/>
      <c r="K10" s="24"/>
      <c r="L10" s="24"/>
      <c r="M10" s="24"/>
    </row>
    <row r="11" customFormat="false" ht="15" hidden="false" customHeight="true" outlineLevel="0" collapsed="false">
      <c r="B11" s="24" t="s">
        <v>921</v>
      </c>
      <c r="C11" s="24"/>
      <c r="D11" s="24"/>
      <c r="E11" s="24"/>
      <c r="F11" s="24"/>
      <c r="G11" s="24"/>
      <c r="H11" s="24"/>
      <c r="I11" s="24"/>
      <c r="J11" s="24"/>
      <c r="K11" s="24"/>
      <c r="L11" s="24"/>
      <c r="M11" s="24"/>
    </row>
    <row r="12" customFormat="false" ht="15" hidden="false" customHeight="true" outlineLevel="0" collapsed="false">
      <c r="B12" s="24" t="s">
        <v>922</v>
      </c>
      <c r="C12" s="24"/>
      <c r="D12" s="24"/>
      <c r="E12" s="24"/>
      <c r="F12" s="24"/>
      <c r="G12" s="24"/>
      <c r="H12" s="24"/>
      <c r="I12" s="24"/>
      <c r="J12" s="24"/>
      <c r="K12" s="24"/>
      <c r="L12" s="24"/>
      <c r="M12" s="24"/>
    </row>
    <row r="13" customFormat="false" ht="15" hidden="false" customHeight="true" outlineLevel="0" collapsed="false">
      <c r="B13" s="24" t="s">
        <v>923</v>
      </c>
      <c r="C13" s="24"/>
      <c r="D13" s="24"/>
      <c r="E13" s="24"/>
      <c r="F13" s="24"/>
      <c r="G13" s="24"/>
      <c r="H13" s="24"/>
      <c r="I13" s="24"/>
      <c r="J13" s="24"/>
      <c r="K13" s="24"/>
      <c r="L13" s="24"/>
      <c r="M13" s="24"/>
    </row>
    <row r="14" customFormat="false" ht="15" hidden="false" customHeight="true" outlineLevel="0" collapsed="false">
      <c r="B14" s="24" t="s">
        <v>924</v>
      </c>
      <c r="C14" s="24"/>
      <c r="D14" s="24"/>
      <c r="E14" s="24"/>
      <c r="F14" s="24"/>
      <c r="G14" s="24"/>
      <c r="H14" s="24"/>
      <c r="I14" s="24"/>
      <c r="J14" s="24"/>
      <c r="K14" s="24"/>
      <c r="L14" s="24"/>
      <c r="M14" s="24"/>
    </row>
    <row r="15" customFormat="false" ht="15" hidden="false" customHeight="true" outlineLevel="0" collapsed="false">
      <c r="B15" s="24" t="s">
        <v>925</v>
      </c>
      <c r="C15" s="24"/>
      <c r="D15" s="24"/>
      <c r="E15" s="24"/>
      <c r="F15" s="24"/>
      <c r="G15" s="24"/>
      <c r="H15" s="24"/>
      <c r="I15" s="24"/>
      <c r="J15" s="24"/>
      <c r="K15" s="24"/>
      <c r="L15" s="24"/>
      <c r="M15" s="24"/>
    </row>
    <row r="16" customFormat="false" ht="15" hidden="false" customHeight="true" outlineLevel="0" collapsed="false">
      <c r="B16" s="24" t="s">
        <v>926</v>
      </c>
      <c r="C16" s="24"/>
      <c r="D16" s="24"/>
      <c r="E16" s="24"/>
      <c r="F16" s="24"/>
      <c r="G16" s="24"/>
      <c r="H16" s="24"/>
      <c r="I16" s="24"/>
      <c r="J16" s="24"/>
      <c r="K16" s="24"/>
      <c r="L16" s="24"/>
      <c r="M16" s="24"/>
    </row>
    <row r="17" customFormat="false" ht="15" hidden="false" customHeight="true" outlineLevel="0" collapsed="false">
      <c r="B17" s="24" t="s">
        <v>927</v>
      </c>
      <c r="C17" s="24"/>
      <c r="D17" s="24"/>
      <c r="E17" s="24"/>
      <c r="F17" s="24"/>
      <c r="G17" s="24"/>
      <c r="H17" s="24"/>
      <c r="I17" s="24"/>
      <c r="J17" s="24"/>
      <c r="K17" s="24"/>
      <c r="L17" s="24"/>
      <c r="M17" s="24"/>
    </row>
    <row r="18" customFormat="false" ht="15" hidden="false" customHeight="true" outlineLevel="0" collapsed="false">
      <c r="B18" s="24" t="s">
        <v>928</v>
      </c>
      <c r="C18" s="24"/>
      <c r="D18" s="24"/>
      <c r="E18" s="24"/>
      <c r="F18" s="24"/>
      <c r="G18" s="24"/>
      <c r="H18" s="24"/>
      <c r="I18" s="24"/>
      <c r="J18" s="24"/>
      <c r="K18" s="24"/>
      <c r="L18" s="24"/>
      <c r="M18" s="24"/>
    </row>
    <row r="19" customFormat="false" ht="15" hidden="false" customHeight="true" outlineLevel="0" collapsed="false">
      <c r="B19" s="24" t="s">
        <v>929</v>
      </c>
      <c r="C19" s="24"/>
      <c r="D19" s="24"/>
      <c r="E19" s="24"/>
      <c r="F19" s="24"/>
      <c r="G19" s="24"/>
      <c r="H19" s="24"/>
      <c r="I19" s="24"/>
      <c r="J19" s="24"/>
      <c r="K19" s="24"/>
      <c r="L19" s="24"/>
      <c r="M19" s="24"/>
    </row>
    <row r="20" customFormat="false" ht="15" hidden="false" customHeight="true" outlineLevel="0" collapsed="false">
      <c r="B20" s="24" t="s">
        <v>930</v>
      </c>
      <c r="C20" s="24"/>
      <c r="D20" s="24"/>
      <c r="E20" s="24"/>
      <c r="F20" s="24"/>
      <c r="G20" s="24"/>
      <c r="H20" s="24"/>
      <c r="I20" s="24"/>
      <c r="J20" s="24"/>
      <c r="K20" s="24"/>
      <c r="L20" s="24"/>
      <c r="M20" s="24"/>
    </row>
    <row r="21" customFormat="false" ht="15" hidden="false" customHeight="true" outlineLevel="0" collapsed="false">
      <c r="B21" s="24" t="s">
        <v>931</v>
      </c>
      <c r="C21" s="24"/>
      <c r="D21" s="24"/>
      <c r="E21" s="24"/>
      <c r="F21" s="24"/>
      <c r="G21" s="24"/>
      <c r="H21" s="24"/>
      <c r="I21" s="24"/>
      <c r="J21" s="24"/>
      <c r="K21" s="24"/>
      <c r="L21" s="24"/>
      <c r="M21" s="24"/>
    </row>
    <row r="22" customFormat="false" ht="15" hidden="false" customHeight="true" outlineLevel="0" collapsed="false">
      <c r="B22" s="24" t="s">
        <v>932</v>
      </c>
      <c r="C22" s="24"/>
      <c r="D22" s="24"/>
      <c r="E22" s="24"/>
      <c r="F22" s="24"/>
      <c r="G22" s="24"/>
      <c r="H22" s="24"/>
      <c r="I22" s="24"/>
      <c r="J22" s="24"/>
      <c r="K22" s="24"/>
      <c r="L22" s="24"/>
      <c r="M22" s="24"/>
    </row>
    <row r="23" customFormat="false" ht="15" hidden="false" customHeight="true" outlineLevel="0" collapsed="false">
      <c r="B23" s="24" t="s">
        <v>933</v>
      </c>
      <c r="C23" s="24"/>
      <c r="D23" s="24"/>
      <c r="E23" s="24"/>
      <c r="F23" s="24"/>
      <c r="G23" s="24"/>
      <c r="H23" s="24"/>
      <c r="I23" s="24"/>
      <c r="J23" s="24"/>
      <c r="K23" s="24"/>
      <c r="L23" s="24"/>
      <c r="M23" s="24"/>
    </row>
    <row r="24" customFormat="false" ht="15" hidden="false" customHeight="true" outlineLevel="0" collapsed="false">
      <c r="B24" s="24" t="s">
        <v>934</v>
      </c>
      <c r="C24" s="24"/>
      <c r="D24" s="24"/>
      <c r="E24" s="24"/>
      <c r="F24" s="24"/>
      <c r="G24" s="24"/>
      <c r="H24" s="24"/>
      <c r="I24" s="24"/>
      <c r="J24" s="24"/>
      <c r="K24" s="24"/>
      <c r="L24" s="24"/>
      <c r="M24" s="24"/>
    </row>
    <row r="25" customFormat="false" ht="15" hidden="false" customHeight="true" outlineLevel="0" collapsed="false">
      <c r="B25" s="24" t="s">
        <v>935</v>
      </c>
      <c r="C25" s="24"/>
      <c r="D25" s="24"/>
      <c r="E25" s="24"/>
      <c r="F25" s="24"/>
      <c r="G25" s="24"/>
      <c r="H25" s="24"/>
      <c r="I25" s="24"/>
      <c r="J25" s="24"/>
      <c r="K25" s="24"/>
      <c r="L25" s="24"/>
      <c r="M25" s="24"/>
    </row>
    <row r="26" customFormat="false" ht="15" hidden="false" customHeight="true" outlineLevel="0" collapsed="false">
      <c r="B26" s="24" t="s">
        <v>936</v>
      </c>
      <c r="C26" s="24"/>
      <c r="D26" s="24"/>
      <c r="E26" s="24"/>
      <c r="F26" s="24"/>
      <c r="G26" s="24"/>
      <c r="H26" s="24"/>
      <c r="I26" s="24"/>
      <c r="J26" s="24"/>
      <c r="K26" s="24"/>
      <c r="L26" s="24"/>
      <c r="M26" s="24"/>
    </row>
    <row r="27" customFormat="false" ht="15" hidden="false" customHeight="true" outlineLevel="0" collapsed="false">
      <c r="B27" s="24" t="s">
        <v>937</v>
      </c>
      <c r="C27" s="24"/>
      <c r="D27" s="24"/>
      <c r="E27" s="24"/>
      <c r="F27" s="24"/>
      <c r="G27" s="24"/>
      <c r="H27" s="24"/>
      <c r="I27" s="24"/>
      <c r="J27" s="24"/>
      <c r="K27" s="24"/>
      <c r="L27" s="24"/>
      <c r="M27" s="24"/>
    </row>
    <row r="28" customFormat="false" ht="15" hidden="false" customHeight="true" outlineLevel="0" collapsed="false">
      <c r="B28" s="24" t="s">
        <v>938</v>
      </c>
      <c r="C28" s="24"/>
      <c r="D28" s="24"/>
      <c r="E28" s="24"/>
      <c r="F28" s="24"/>
      <c r="G28" s="24"/>
      <c r="H28" s="24"/>
      <c r="I28" s="24"/>
      <c r="J28" s="24"/>
      <c r="K28" s="24"/>
      <c r="L28" s="24"/>
      <c r="M28" s="24"/>
    </row>
    <row r="29" customFormat="false" ht="15" hidden="false" customHeight="true" outlineLevel="0" collapsed="false">
      <c r="B29" s="24" t="s">
        <v>939</v>
      </c>
      <c r="C29" s="24"/>
      <c r="D29" s="24"/>
      <c r="E29" s="24"/>
      <c r="F29" s="24"/>
      <c r="G29" s="24"/>
      <c r="H29" s="24"/>
      <c r="I29" s="24"/>
      <c r="J29" s="24"/>
      <c r="K29" s="24"/>
      <c r="L29" s="24"/>
      <c r="M29" s="24"/>
    </row>
    <row r="30" customFormat="false" ht="15" hidden="false" customHeight="true" outlineLevel="0" collapsed="false">
      <c r="B30" s="24" t="s">
        <v>940</v>
      </c>
      <c r="C30" s="24"/>
      <c r="D30" s="24"/>
      <c r="E30" s="24"/>
      <c r="F30" s="24"/>
      <c r="G30" s="24"/>
      <c r="H30" s="24"/>
      <c r="I30" s="24"/>
      <c r="J30" s="24"/>
      <c r="K30" s="24"/>
      <c r="L30" s="24"/>
      <c r="M30" s="24"/>
    </row>
    <row r="31" customFormat="false" ht="15" hidden="false" customHeight="true" outlineLevel="0" collapsed="false">
      <c r="B31" s="24" t="s">
        <v>941</v>
      </c>
      <c r="C31" s="24"/>
      <c r="D31" s="24"/>
      <c r="E31" s="24"/>
      <c r="F31" s="24"/>
      <c r="G31" s="24"/>
      <c r="H31" s="24"/>
      <c r="I31" s="24"/>
      <c r="J31" s="24"/>
      <c r="K31" s="24"/>
      <c r="L31" s="24"/>
      <c r="M31" s="24"/>
    </row>
    <row r="32" customFormat="false" ht="15" hidden="false" customHeight="true" outlineLevel="0" collapsed="false">
      <c r="B32" s="24" t="s">
        <v>942</v>
      </c>
      <c r="C32" s="24"/>
      <c r="D32" s="24"/>
      <c r="E32" s="24"/>
      <c r="F32" s="24"/>
      <c r="G32" s="24"/>
      <c r="H32" s="24"/>
      <c r="I32" s="24"/>
      <c r="J32" s="24"/>
      <c r="K32" s="24"/>
      <c r="L32" s="24"/>
      <c r="M32" s="24"/>
    </row>
    <row r="33" customFormat="false" ht="15" hidden="false" customHeight="true" outlineLevel="0" collapsed="false">
      <c r="B33" s="24" t="s">
        <v>943</v>
      </c>
      <c r="C33" s="24"/>
      <c r="D33" s="24"/>
      <c r="E33" s="24"/>
      <c r="F33" s="24"/>
      <c r="G33" s="24"/>
      <c r="H33" s="24"/>
      <c r="I33" s="24"/>
      <c r="J33" s="24"/>
      <c r="K33" s="24"/>
      <c r="L33" s="24"/>
      <c r="M33" s="24"/>
    </row>
    <row r="34" customFormat="false" ht="15" hidden="false" customHeight="true" outlineLevel="0" collapsed="false">
      <c r="B34" s="24" t="s">
        <v>944</v>
      </c>
      <c r="C34" s="24"/>
      <c r="D34" s="24"/>
      <c r="E34" s="24"/>
      <c r="F34" s="24"/>
      <c r="G34" s="24"/>
      <c r="H34" s="24"/>
      <c r="I34" s="24"/>
      <c r="J34" s="24"/>
      <c r="K34" s="24"/>
      <c r="L34" s="24"/>
      <c r="M34" s="24"/>
    </row>
  </sheetData>
  <autoFilter ref="B4:M34"/>
  <mergeCells count="1">
    <mergeCell ref="B2:M2"/>
  </mergeCells>
  <dataValidations count="1">
    <dataValidation allowBlank="true" errorStyle="stop" operator="between" prompt="Select PT status" promptTitle="PT Status" showDropDown="false" showErrorMessage="false" showInputMessage="false" sqref="J5:J34" type="list">
      <formula1>""pass,fail,pending,n/a""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3"/>
    <pageSetUpPr fitToPage="false"/>
  </sheetPr>
  <dimension ref="B2:K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30"/>
    <col collapsed="false" customWidth="true" hidden="false" outlineLevel="0" max="4" min="4" style="1" width="12"/>
    <col collapsed="false" customWidth="true" hidden="false" outlineLevel="0" max="5" min="5" style="1" width="10"/>
    <col collapsed="false" customWidth="true" hidden="false" outlineLevel="0" max="6" min="6" style="1" width="18"/>
    <col collapsed="false" customWidth="true" hidden="false" outlineLevel="0" max="9" min="7" style="1" width="14"/>
    <col collapsed="false" customWidth="true" hidden="false" outlineLevel="0" max="10" min="10" style="1" width="12"/>
    <col collapsed="false" customWidth="true" hidden="false" outlineLevel="0" max="11" min="11" style="1" width="25"/>
  </cols>
  <sheetData>
    <row r="2" customFormat="false" ht="24" hidden="false" customHeight="true" outlineLevel="0" collapsed="false">
      <c r="B2" s="10" t="s">
        <v>945</v>
      </c>
      <c r="C2" s="10"/>
      <c r="D2" s="10"/>
      <c r="E2" s="10"/>
      <c r="F2" s="10"/>
      <c r="G2" s="10"/>
      <c r="H2" s="10"/>
      <c r="I2" s="10"/>
      <c r="J2" s="10"/>
      <c r="K2" s="10"/>
    </row>
    <row r="4" customFormat="false" ht="27.75" hidden="false" customHeight="true" outlineLevel="0" collapsed="false">
      <c r="B4" s="23" t="s">
        <v>946</v>
      </c>
      <c r="C4" s="23" t="s">
        <v>947</v>
      </c>
      <c r="D4" s="23" t="s">
        <v>948</v>
      </c>
      <c r="E4" s="23" t="s">
        <v>949</v>
      </c>
      <c r="F4" s="23" t="s">
        <v>873</v>
      </c>
      <c r="G4" s="23" t="s">
        <v>950</v>
      </c>
      <c r="H4" s="23" t="s">
        <v>951</v>
      </c>
      <c r="I4" s="23" t="s">
        <v>952</v>
      </c>
      <c r="J4" s="23" t="s">
        <v>56</v>
      </c>
      <c r="K4" s="23" t="s">
        <v>124</v>
      </c>
    </row>
    <row r="5" customFormat="false" ht="15" hidden="false" customHeight="true" outlineLevel="0" collapsed="false">
      <c r="B5" s="24" t="s">
        <v>953</v>
      </c>
      <c r="C5" s="24"/>
      <c r="D5" s="24"/>
      <c r="E5" s="24"/>
      <c r="F5" s="24"/>
      <c r="G5" s="24"/>
      <c r="H5" s="24"/>
      <c r="I5" s="24"/>
      <c r="J5" s="24"/>
      <c r="K5" s="24"/>
    </row>
    <row r="6" customFormat="false" ht="15" hidden="false" customHeight="true" outlineLevel="0" collapsed="false">
      <c r="B6" s="24" t="s">
        <v>954</v>
      </c>
      <c r="C6" s="24"/>
      <c r="D6" s="24"/>
      <c r="E6" s="24"/>
      <c r="F6" s="24"/>
      <c r="G6" s="24"/>
      <c r="H6" s="24"/>
      <c r="I6" s="24"/>
      <c r="J6" s="24"/>
      <c r="K6" s="24"/>
    </row>
    <row r="7" customFormat="false" ht="15" hidden="false" customHeight="true" outlineLevel="0" collapsed="false">
      <c r="B7" s="24" t="s">
        <v>955</v>
      </c>
      <c r="C7" s="24"/>
      <c r="D7" s="24"/>
      <c r="E7" s="24"/>
      <c r="F7" s="24"/>
      <c r="G7" s="24"/>
      <c r="H7" s="24"/>
      <c r="I7" s="24"/>
      <c r="J7" s="24"/>
      <c r="K7" s="24"/>
    </row>
    <row r="8" customFormat="false" ht="15" hidden="false" customHeight="true" outlineLevel="0" collapsed="false">
      <c r="B8" s="24" t="s">
        <v>956</v>
      </c>
      <c r="C8" s="24"/>
      <c r="D8" s="24"/>
      <c r="E8" s="24"/>
      <c r="F8" s="24"/>
      <c r="G8" s="24"/>
      <c r="H8" s="24"/>
      <c r="I8" s="24"/>
      <c r="J8" s="24"/>
      <c r="K8" s="24"/>
    </row>
    <row r="9" customFormat="false" ht="15" hidden="false" customHeight="true" outlineLevel="0" collapsed="false">
      <c r="B9" s="24" t="s">
        <v>957</v>
      </c>
      <c r="C9" s="24"/>
      <c r="D9" s="24"/>
      <c r="E9" s="24"/>
      <c r="F9" s="24"/>
      <c r="G9" s="24"/>
      <c r="H9" s="24"/>
      <c r="I9" s="24"/>
      <c r="J9" s="24"/>
      <c r="K9" s="24"/>
    </row>
    <row r="10" customFormat="false" ht="15" hidden="false" customHeight="true" outlineLevel="0" collapsed="false">
      <c r="B10" s="24" t="s">
        <v>958</v>
      </c>
      <c r="C10" s="24"/>
      <c r="D10" s="24"/>
      <c r="E10" s="24"/>
      <c r="F10" s="24"/>
      <c r="G10" s="24"/>
      <c r="H10" s="24"/>
      <c r="I10" s="24"/>
      <c r="J10" s="24"/>
      <c r="K10" s="24"/>
    </row>
    <row r="11" customFormat="false" ht="15" hidden="false" customHeight="true" outlineLevel="0" collapsed="false">
      <c r="B11" s="24" t="s">
        <v>959</v>
      </c>
      <c r="C11" s="24"/>
      <c r="D11" s="24"/>
      <c r="E11" s="24"/>
      <c r="F11" s="24"/>
      <c r="G11" s="24"/>
      <c r="H11" s="24"/>
      <c r="I11" s="24"/>
      <c r="J11" s="24"/>
      <c r="K11" s="24"/>
    </row>
    <row r="12" customFormat="false" ht="15" hidden="false" customHeight="true" outlineLevel="0" collapsed="false">
      <c r="B12" s="24" t="s">
        <v>960</v>
      </c>
      <c r="C12" s="24"/>
      <c r="D12" s="24"/>
      <c r="E12" s="24"/>
      <c r="F12" s="24"/>
      <c r="G12" s="24"/>
      <c r="H12" s="24"/>
      <c r="I12" s="24"/>
      <c r="J12" s="24"/>
      <c r="K12" s="24"/>
    </row>
    <row r="13" customFormat="false" ht="15" hidden="false" customHeight="true" outlineLevel="0" collapsed="false">
      <c r="B13" s="24" t="s">
        <v>961</v>
      </c>
      <c r="C13" s="24"/>
      <c r="D13" s="24"/>
      <c r="E13" s="24"/>
      <c r="F13" s="24"/>
      <c r="G13" s="24"/>
      <c r="H13" s="24"/>
      <c r="I13" s="24"/>
      <c r="J13" s="24"/>
      <c r="K13" s="24"/>
    </row>
    <row r="14" customFormat="false" ht="15" hidden="false" customHeight="true" outlineLevel="0" collapsed="false">
      <c r="B14" s="24" t="s">
        <v>962</v>
      </c>
      <c r="C14" s="24"/>
      <c r="D14" s="24"/>
      <c r="E14" s="24"/>
      <c r="F14" s="24"/>
      <c r="G14" s="24"/>
      <c r="H14" s="24"/>
      <c r="I14" s="24"/>
      <c r="J14" s="24"/>
      <c r="K14" s="24"/>
    </row>
    <row r="15" customFormat="false" ht="15" hidden="false" customHeight="true" outlineLevel="0" collapsed="false">
      <c r="B15" s="24" t="s">
        <v>963</v>
      </c>
      <c r="C15" s="24"/>
      <c r="D15" s="24"/>
      <c r="E15" s="24"/>
      <c r="F15" s="24"/>
      <c r="G15" s="24"/>
      <c r="H15" s="24"/>
      <c r="I15" s="24"/>
      <c r="J15" s="24"/>
      <c r="K15" s="24"/>
    </row>
    <row r="16" customFormat="false" ht="15" hidden="false" customHeight="true" outlineLevel="0" collapsed="false">
      <c r="B16" s="24" t="s">
        <v>964</v>
      </c>
      <c r="C16" s="24"/>
      <c r="D16" s="24"/>
      <c r="E16" s="24"/>
      <c r="F16" s="24"/>
      <c r="G16" s="24"/>
      <c r="H16" s="24"/>
      <c r="I16" s="24"/>
      <c r="J16" s="24"/>
      <c r="K16" s="24"/>
    </row>
    <row r="17" customFormat="false" ht="15" hidden="false" customHeight="true" outlineLevel="0" collapsed="false">
      <c r="B17" s="24" t="s">
        <v>965</v>
      </c>
      <c r="C17" s="24"/>
      <c r="D17" s="24"/>
      <c r="E17" s="24"/>
      <c r="F17" s="24"/>
      <c r="G17" s="24"/>
      <c r="H17" s="24"/>
      <c r="I17" s="24"/>
      <c r="J17" s="24"/>
      <c r="K17" s="24"/>
    </row>
    <row r="18" customFormat="false" ht="15" hidden="false" customHeight="true" outlineLevel="0" collapsed="false">
      <c r="B18" s="24" t="s">
        <v>966</v>
      </c>
      <c r="C18" s="24"/>
      <c r="D18" s="24"/>
      <c r="E18" s="24"/>
      <c r="F18" s="24"/>
      <c r="G18" s="24"/>
      <c r="H18" s="24"/>
      <c r="I18" s="24"/>
      <c r="J18" s="24"/>
      <c r="K18" s="24"/>
    </row>
    <row r="19" customFormat="false" ht="15" hidden="false" customHeight="true" outlineLevel="0" collapsed="false">
      <c r="B19" s="24" t="s">
        <v>967</v>
      </c>
      <c r="C19" s="24"/>
      <c r="D19" s="24"/>
      <c r="E19" s="24"/>
      <c r="F19" s="24"/>
      <c r="G19" s="24"/>
      <c r="H19" s="24"/>
      <c r="I19" s="24"/>
      <c r="J19" s="24"/>
      <c r="K19" s="24"/>
    </row>
    <row r="20" customFormat="false" ht="15" hidden="false" customHeight="true" outlineLevel="0" collapsed="false">
      <c r="B20" s="24" t="s">
        <v>968</v>
      </c>
      <c r="C20" s="24"/>
      <c r="D20" s="24"/>
      <c r="E20" s="24"/>
      <c r="F20" s="24"/>
      <c r="G20" s="24"/>
      <c r="H20" s="24"/>
      <c r="I20" s="24"/>
      <c r="J20" s="24"/>
      <c r="K20" s="24"/>
    </row>
    <row r="21" customFormat="false" ht="15" hidden="false" customHeight="true" outlineLevel="0" collapsed="false">
      <c r="B21" s="24" t="s">
        <v>969</v>
      </c>
      <c r="C21" s="24"/>
      <c r="D21" s="24"/>
      <c r="E21" s="24"/>
      <c r="F21" s="24"/>
      <c r="G21" s="24"/>
      <c r="H21" s="24"/>
      <c r="I21" s="24"/>
      <c r="J21" s="24"/>
      <c r="K21" s="24"/>
    </row>
    <row r="22" customFormat="false" ht="15" hidden="false" customHeight="true" outlineLevel="0" collapsed="false">
      <c r="B22" s="24" t="s">
        <v>970</v>
      </c>
      <c r="C22" s="24"/>
      <c r="D22" s="24"/>
      <c r="E22" s="24"/>
      <c r="F22" s="24"/>
      <c r="G22" s="24"/>
      <c r="H22" s="24"/>
      <c r="I22" s="24"/>
      <c r="J22" s="24"/>
      <c r="K22" s="24"/>
    </row>
    <row r="23" customFormat="false" ht="15" hidden="false" customHeight="true" outlineLevel="0" collapsed="false">
      <c r="B23" s="24" t="s">
        <v>971</v>
      </c>
      <c r="C23" s="24"/>
      <c r="D23" s="24"/>
      <c r="E23" s="24"/>
      <c r="F23" s="24"/>
      <c r="G23" s="24"/>
      <c r="H23" s="24"/>
      <c r="I23" s="24"/>
      <c r="J23" s="24"/>
      <c r="K23" s="24"/>
    </row>
    <row r="24" customFormat="false" ht="15" hidden="false" customHeight="true" outlineLevel="0" collapsed="false">
      <c r="B24" s="24" t="s">
        <v>972</v>
      </c>
      <c r="C24" s="24"/>
      <c r="D24" s="24"/>
      <c r="E24" s="24"/>
      <c r="F24" s="24"/>
      <c r="G24" s="24"/>
      <c r="H24" s="24"/>
      <c r="I24" s="24"/>
      <c r="J24" s="24"/>
      <c r="K24" s="24"/>
    </row>
    <row r="25" customFormat="false" ht="15" hidden="false" customHeight="true" outlineLevel="0" collapsed="false">
      <c r="B25" s="24" t="s">
        <v>973</v>
      </c>
      <c r="C25" s="24"/>
      <c r="D25" s="24"/>
      <c r="E25" s="24"/>
      <c r="F25" s="24"/>
      <c r="G25" s="24"/>
      <c r="H25" s="24"/>
      <c r="I25" s="24"/>
      <c r="J25" s="24"/>
      <c r="K25" s="24"/>
    </row>
    <row r="26" customFormat="false" ht="15" hidden="false" customHeight="true" outlineLevel="0" collapsed="false">
      <c r="B26" s="24" t="s">
        <v>974</v>
      </c>
      <c r="C26" s="24"/>
      <c r="D26" s="24"/>
      <c r="E26" s="24"/>
      <c r="F26" s="24"/>
      <c r="G26" s="24"/>
      <c r="H26" s="24"/>
      <c r="I26" s="24"/>
      <c r="J26" s="24"/>
      <c r="K26" s="24"/>
    </row>
    <row r="27" customFormat="false" ht="15" hidden="false" customHeight="true" outlineLevel="0" collapsed="false">
      <c r="B27" s="24" t="s">
        <v>975</v>
      </c>
      <c r="C27" s="24"/>
      <c r="D27" s="24"/>
      <c r="E27" s="24"/>
      <c r="F27" s="24"/>
      <c r="G27" s="24"/>
      <c r="H27" s="24"/>
      <c r="I27" s="24"/>
      <c r="J27" s="24"/>
      <c r="K27" s="24"/>
    </row>
    <row r="28" customFormat="false" ht="15" hidden="false" customHeight="true" outlineLevel="0" collapsed="false">
      <c r="B28" s="24" t="s">
        <v>976</v>
      </c>
      <c r="C28" s="24"/>
      <c r="D28" s="24"/>
      <c r="E28" s="24"/>
      <c r="F28" s="24"/>
      <c r="G28" s="24"/>
      <c r="H28" s="24"/>
      <c r="I28" s="24"/>
      <c r="J28" s="24"/>
      <c r="K28" s="24"/>
    </row>
    <row r="29" customFormat="false" ht="15" hidden="false" customHeight="true" outlineLevel="0" collapsed="false">
      <c r="B29" s="24" t="s">
        <v>977</v>
      </c>
      <c r="C29" s="24"/>
      <c r="D29" s="24"/>
      <c r="E29" s="24"/>
      <c r="F29" s="24"/>
      <c r="G29" s="24"/>
      <c r="H29" s="24"/>
      <c r="I29" s="24"/>
      <c r="J29" s="24"/>
      <c r="K29" s="24"/>
    </row>
    <row r="30" customFormat="false" ht="15" hidden="false" customHeight="true" outlineLevel="0" collapsed="false">
      <c r="B30" s="24" t="s">
        <v>978</v>
      </c>
      <c r="C30" s="24"/>
      <c r="D30" s="24"/>
      <c r="E30" s="24"/>
      <c r="F30" s="24"/>
      <c r="G30" s="24"/>
      <c r="H30" s="24"/>
      <c r="I30" s="24"/>
      <c r="J30" s="24"/>
      <c r="K30" s="24"/>
    </row>
    <row r="31" customFormat="false" ht="15" hidden="false" customHeight="true" outlineLevel="0" collapsed="false">
      <c r="B31" s="24" t="s">
        <v>979</v>
      </c>
      <c r="C31" s="24"/>
      <c r="D31" s="24"/>
      <c r="E31" s="24"/>
      <c r="F31" s="24"/>
      <c r="G31" s="24"/>
      <c r="H31" s="24"/>
      <c r="I31" s="24"/>
      <c r="J31" s="24"/>
      <c r="K31" s="24"/>
    </row>
    <row r="32" customFormat="false" ht="15" hidden="false" customHeight="true" outlineLevel="0" collapsed="false">
      <c r="B32" s="24" t="s">
        <v>980</v>
      </c>
      <c r="C32" s="24"/>
      <c r="D32" s="24"/>
      <c r="E32" s="24"/>
      <c r="F32" s="24"/>
      <c r="G32" s="24"/>
      <c r="H32" s="24"/>
      <c r="I32" s="24"/>
      <c r="J32" s="24"/>
      <c r="K32" s="24"/>
    </row>
    <row r="33" customFormat="false" ht="15" hidden="false" customHeight="true" outlineLevel="0" collapsed="false">
      <c r="B33" s="24" t="s">
        <v>981</v>
      </c>
      <c r="C33" s="24"/>
      <c r="D33" s="24"/>
      <c r="E33" s="24"/>
      <c r="F33" s="24"/>
      <c r="G33" s="24"/>
      <c r="H33" s="24"/>
      <c r="I33" s="24"/>
      <c r="J33" s="24"/>
      <c r="K33" s="24"/>
    </row>
    <row r="34" customFormat="false" ht="15" hidden="false" customHeight="true" outlineLevel="0" collapsed="false">
      <c r="B34" s="24" t="s">
        <v>982</v>
      </c>
      <c r="C34" s="24"/>
      <c r="D34" s="24"/>
      <c r="E34" s="24"/>
      <c r="F34" s="24"/>
      <c r="G34" s="24"/>
      <c r="H34" s="24"/>
      <c r="I34" s="24"/>
      <c r="J34" s="24"/>
      <c r="K34" s="24"/>
    </row>
    <row r="35" customFormat="false" ht="15" hidden="false" customHeight="true" outlineLevel="0" collapsed="false">
      <c r="B35" s="24" t="s">
        <v>983</v>
      </c>
      <c r="C35" s="24"/>
      <c r="D35" s="24"/>
      <c r="E35" s="24"/>
      <c r="F35" s="24"/>
      <c r="G35" s="24"/>
      <c r="H35" s="24"/>
      <c r="I35" s="24"/>
      <c r="J35" s="24"/>
      <c r="K35" s="24"/>
    </row>
    <row r="36" customFormat="false" ht="15" hidden="false" customHeight="true" outlineLevel="0" collapsed="false">
      <c r="B36" s="24" t="s">
        <v>984</v>
      </c>
      <c r="C36" s="24"/>
      <c r="D36" s="24"/>
      <c r="E36" s="24"/>
      <c r="F36" s="24"/>
      <c r="G36" s="24"/>
      <c r="H36" s="24"/>
      <c r="I36" s="24"/>
      <c r="J36" s="24"/>
      <c r="K36" s="24"/>
    </row>
    <row r="37" customFormat="false" ht="15" hidden="false" customHeight="true" outlineLevel="0" collapsed="false">
      <c r="B37" s="24" t="s">
        <v>985</v>
      </c>
      <c r="C37" s="24"/>
      <c r="D37" s="24"/>
      <c r="E37" s="24"/>
      <c r="F37" s="24"/>
      <c r="G37" s="24"/>
      <c r="H37" s="24"/>
      <c r="I37" s="24"/>
      <c r="J37" s="24"/>
      <c r="K37" s="24"/>
    </row>
    <row r="38" customFormat="false" ht="15" hidden="false" customHeight="true" outlineLevel="0" collapsed="false">
      <c r="B38" s="24" t="s">
        <v>986</v>
      </c>
      <c r="C38" s="24"/>
      <c r="D38" s="24"/>
      <c r="E38" s="24"/>
      <c r="F38" s="24"/>
      <c r="G38" s="24"/>
      <c r="H38" s="24"/>
      <c r="I38" s="24"/>
      <c r="J38" s="24"/>
      <c r="K38" s="24"/>
    </row>
    <row r="39" customFormat="false" ht="15" hidden="false" customHeight="true" outlineLevel="0" collapsed="false">
      <c r="B39" s="24" t="s">
        <v>987</v>
      </c>
      <c r="C39" s="24"/>
      <c r="D39" s="24"/>
      <c r="E39" s="24"/>
      <c r="F39" s="24"/>
      <c r="G39" s="24"/>
      <c r="H39" s="24"/>
      <c r="I39" s="24"/>
      <c r="J39" s="24"/>
      <c r="K39" s="24"/>
    </row>
    <row r="40" customFormat="false" ht="15" hidden="false" customHeight="true" outlineLevel="0" collapsed="false">
      <c r="B40" s="24" t="s">
        <v>988</v>
      </c>
      <c r="C40" s="24"/>
      <c r="D40" s="24"/>
      <c r="E40" s="24"/>
      <c r="F40" s="24"/>
      <c r="G40" s="24"/>
      <c r="H40" s="24"/>
      <c r="I40" s="24"/>
      <c r="J40" s="24"/>
      <c r="K40" s="24"/>
    </row>
    <row r="41" customFormat="false" ht="15" hidden="false" customHeight="true" outlineLevel="0" collapsed="false">
      <c r="B41" s="24" t="s">
        <v>989</v>
      </c>
      <c r="C41" s="24"/>
      <c r="D41" s="24"/>
      <c r="E41" s="24"/>
      <c r="F41" s="24"/>
      <c r="G41" s="24"/>
      <c r="H41" s="24"/>
      <c r="I41" s="24"/>
      <c r="J41" s="24"/>
      <c r="K41" s="24"/>
    </row>
    <row r="42" customFormat="false" ht="15" hidden="false" customHeight="true" outlineLevel="0" collapsed="false">
      <c r="B42" s="24" t="s">
        <v>990</v>
      </c>
      <c r="C42" s="24"/>
      <c r="D42" s="24"/>
      <c r="E42" s="24"/>
      <c r="F42" s="24"/>
      <c r="G42" s="24"/>
      <c r="H42" s="24"/>
      <c r="I42" s="24"/>
      <c r="J42" s="24"/>
      <c r="K42" s="24"/>
    </row>
    <row r="43" customFormat="false" ht="15" hidden="false" customHeight="true" outlineLevel="0" collapsed="false">
      <c r="B43" s="24" t="s">
        <v>991</v>
      </c>
      <c r="C43" s="24"/>
      <c r="D43" s="24"/>
      <c r="E43" s="24"/>
      <c r="F43" s="24"/>
      <c r="G43" s="24"/>
      <c r="H43" s="24"/>
      <c r="I43" s="24"/>
      <c r="J43" s="24"/>
      <c r="K43" s="24"/>
    </row>
    <row r="44" customFormat="false" ht="15" hidden="false" customHeight="true" outlineLevel="0" collapsed="false">
      <c r="B44" s="24" t="s">
        <v>992</v>
      </c>
      <c r="C44" s="24"/>
      <c r="D44" s="24"/>
      <c r="E44" s="24"/>
      <c r="F44" s="24"/>
      <c r="G44" s="24"/>
      <c r="H44" s="24"/>
      <c r="I44" s="24"/>
      <c r="J44" s="24"/>
      <c r="K44" s="24"/>
    </row>
  </sheetData>
  <autoFilter ref="B4:K44"/>
  <mergeCells count="1">
    <mergeCell ref="B2:K2"/>
  </mergeCells>
  <dataValidations count="2">
    <dataValidation allowBlank="true" errorStyle="stop" operator="between" prompt="Select type" promptTitle="Type" showDropDown="false" showErrorMessage="false" showInputMessage="false" sqref="D5:D44" type="list">
      <formula1>""sop,policy,form,manual,guideline,other""</formula1>
      <formula2>0</formula2>
    </dataValidation>
    <dataValidation allowBlank="true" errorStyle="stop" operator="between" prompt="Select status" promptTitle="Status" showDropDown="false" showErrorMessage="false" showInputMessage="false" sqref="J5:J44" type="list">
      <formula1>""current,under review,obsolete,draft""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1F3B"/>
    <pageSetUpPr fitToPage="false"/>
  </sheetPr>
  <dimension ref="B2: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14"/>
    <col collapsed="false" customWidth="true" hidden="false" outlineLevel="0" max="4" min="4" style="1" width="22"/>
    <col collapsed="false" customWidth="true" hidden="false" outlineLevel="0" max="5" min="5" style="1" width="14"/>
    <col collapsed="false" customWidth="true" hidden="false" outlineLevel="0" max="6" min="6" style="1" width="25"/>
    <col collapsed="false" customWidth="true" hidden="false" outlineLevel="0" max="7" min="7" style="1" width="18"/>
    <col collapsed="false" customWidth="true" hidden="false" outlineLevel="0" max="8" min="8" style="1" width="30"/>
    <col collapsed="false" customWidth="true" hidden="false" outlineLevel="0" max="9" min="9" style="1" width="10"/>
    <col collapsed="false" customWidth="true" hidden="false" outlineLevel="0" max="10" min="10" style="1" width="30"/>
    <col collapsed="false" customWidth="true" hidden="false" outlineLevel="0" max="11" min="11" style="1" width="14"/>
    <col collapsed="false" customWidth="true" hidden="false" outlineLevel="0" max="12" min="12" style="1" width="25"/>
  </cols>
  <sheetData>
    <row r="2" customFormat="false" ht="24" hidden="false" customHeight="true" outlineLevel="0" collapsed="false">
      <c r="B2" s="10" t="s">
        <v>993</v>
      </c>
      <c r="C2" s="10"/>
      <c r="D2" s="10"/>
      <c r="E2" s="10"/>
      <c r="F2" s="10"/>
      <c r="G2" s="10"/>
      <c r="H2" s="10"/>
      <c r="I2" s="10"/>
      <c r="J2" s="10"/>
      <c r="K2" s="10"/>
    </row>
    <row r="4" customFormat="false" ht="27.75" hidden="false" customHeight="true" outlineLevel="0" collapsed="false">
      <c r="B4" s="23" t="s">
        <v>994</v>
      </c>
      <c r="C4" s="23" t="s">
        <v>995</v>
      </c>
      <c r="D4" s="23" t="s">
        <v>996</v>
      </c>
      <c r="E4" s="23" t="s">
        <v>997</v>
      </c>
      <c r="F4" s="23" t="s">
        <v>998</v>
      </c>
      <c r="G4" s="23" t="s">
        <v>999</v>
      </c>
      <c r="H4" s="23" t="s">
        <v>1000</v>
      </c>
      <c r="I4" s="23" t="s">
        <v>1001</v>
      </c>
      <c r="J4" s="23" t="s">
        <v>1002</v>
      </c>
      <c r="K4" s="23" t="s">
        <v>1003</v>
      </c>
      <c r="L4" s="23" t="s">
        <v>124</v>
      </c>
    </row>
    <row r="5" customFormat="false" ht="15" hidden="false" customHeight="true" outlineLevel="0" collapsed="false">
      <c r="B5" s="24" t="s">
        <v>1004</v>
      </c>
      <c r="C5" s="24"/>
      <c r="D5" s="24"/>
      <c r="E5" s="24"/>
      <c r="F5" s="24"/>
      <c r="G5" s="24"/>
      <c r="H5" s="24"/>
      <c r="I5" s="24"/>
      <c r="J5" s="24"/>
      <c r="K5" s="24"/>
      <c r="L5" s="24"/>
    </row>
    <row r="6" customFormat="false" ht="15" hidden="false" customHeight="true" outlineLevel="0" collapsed="false">
      <c r="B6" s="24" t="s">
        <v>1005</v>
      </c>
      <c r="C6" s="24"/>
      <c r="D6" s="24"/>
      <c r="E6" s="24"/>
      <c r="F6" s="24"/>
      <c r="G6" s="24"/>
      <c r="H6" s="24"/>
      <c r="I6" s="24"/>
      <c r="J6" s="24"/>
      <c r="K6" s="24"/>
      <c r="L6" s="24"/>
    </row>
    <row r="7" customFormat="false" ht="15" hidden="false" customHeight="true" outlineLevel="0" collapsed="false">
      <c r="B7" s="24" t="s">
        <v>1006</v>
      </c>
      <c r="C7" s="24"/>
      <c r="D7" s="24"/>
      <c r="E7" s="24"/>
      <c r="F7" s="24"/>
      <c r="G7" s="24"/>
      <c r="H7" s="24"/>
      <c r="I7" s="24"/>
      <c r="J7" s="24"/>
      <c r="K7" s="24"/>
      <c r="L7" s="24"/>
    </row>
    <row r="8" customFormat="false" ht="15" hidden="false" customHeight="true" outlineLevel="0" collapsed="false">
      <c r="B8" s="24" t="s">
        <v>1007</v>
      </c>
      <c r="C8" s="24"/>
      <c r="D8" s="24"/>
      <c r="E8" s="24"/>
      <c r="F8" s="24"/>
      <c r="G8" s="24"/>
      <c r="H8" s="24"/>
      <c r="I8" s="24"/>
      <c r="J8" s="24"/>
      <c r="K8" s="24"/>
      <c r="L8" s="24"/>
    </row>
    <row r="9" customFormat="false" ht="15" hidden="false" customHeight="true" outlineLevel="0" collapsed="false">
      <c r="B9" s="24" t="s">
        <v>1008</v>
      </c>
      <c r="C9" s="24"/>
      <c r="D9" s="24"/>
      <c r="E9" s="24"/>
      <c r="F9" s="24"/>
      <c r="G9" s="24"/>
      <c r="H9" s="24"/>
      <c r="I9" s="24"/>
      <c r="J9" s="24"/>
      <c r="K9" s="24"/>
      <c r="L9" s="24"/>
    </row>
    <row r="10" customFormat="false" ht="15" hidden="false" customHeight="true" outlineLevel="0" collapsed="false">
      <c r="B10" s="24" t="s">
        <v>1009</v>
      </c>
      <c r="C10" s="24"/>
      <c r="D10" s="24"/>
      <c r="E10" s="24"/>
      <c r="F10" s="24"/>
      <c r="G10" s="24"/>
      <c r="H10" s="24"/>
      <c r="I10" s="24"/>
      <c r="J10" s="24"/>
      <c r="K10" s="24"/>
      <c r="L10" s="24"/>
    </row>
    <row r="11" customFormat="false" ht="15" hidden="false" customHeight="true" outlineLevel="0" collapsed="false">
      <c r="B11" s="24" t="s">
        <v>1010</v>
      </c>
      <c r="C11" s="24"/>
      <c r="D11" s="24"/>
      <c r="E11" s="24"/>
      <c r="F11" s="24"/>
      <c r="G11" s="24"/>
      <c r="H11" s="24"/>
      <c r="I11" s="24"/>
      <c r="J11" s="24"/>
      <c r="K11" s="24"/>
      <c r="L11" s="24"/>
    </row>
    <row r="12" customFormat="false" ht="15" hidden="false" customHeight="true" outlineLevel="0" collapsed="false">
      <c r="B12" s="24" t="s">
        <v>1011</v>
      </c>
      <c r="C12" s="24"/>
      <c r="D12" s="24"/>
      <c r="E12" s="24"/>
      <c r="F12" s="24"/>
      <c r="G12" s="24"/>
      <c r="H12" s="24"/>
      <c r="I12" s="24"/>
      <c r="J12" s="24"/>
      <c r="K12" s="24"/>
      <c r="L12" s="24"/>
    </row>
    <row r="13" customFormat="false" ht="15" hidden="false" customHeight="true" outlineLevel="0" collapsed="false">
      <c r="B13" s="24" t="s">
        <v>1012</v>
      </c>
      <c r="C13" s="24"/>
      <c r="D13" s="24"/>
      <c r="E13" s="24"/>
      <c r="F13" s="24"/>
      <c r="G13" s="24"/>
      <c r="H13" s="24"/>
      <c r="I13" s="24"/>
      <c r="J13" s="24"/>
      <c r="K13" s="24"/>
      <c r="L13" s="24"/>
    </row>
    <row r="14" customFormat="false" ht="15" hidden="false" customHeight="true" outlineLevel="0" collapsed="false">
      <c r="B14" s="24" t="s">
        <v>1013</v>
      </c>
      <c r="C14" s="24"/>
      <c r="D14" s="24"/>
      <c r="E14" s="24"/>
      <c r="F14" s="24"/>
      <c r="G14" s="24"/>
      <c r="H14" s="24"/>
      <c r="I14" s="24"/>
      <c r="J14" s="24"/>
      <c r="K14" s="24"/>
      <c r="L14" s="24"/>
    </row>
    <row r="15" customFormat="false" ht="15" hidden="false" customHeight="true" outlineLevel="0" collapsed="false">
      <c r="B15" s="24" t="s">
        <v>1014</v>
      </c>
      <c r="C15" s="24"/>
      <c r="D15" s="24"/>
      <c r="E15" s="24"/>
      <c r="F15" s="24"/>
      <c r="G15" s="24"/>
      <c r="H15" s="24"/>
      <c r="I15" s="24"/>
      <c r="J15" s="24"/>
      <c r="K15" s="24"/>
      <c r="L15" s="24"/>
    </row>
    <row r="16" customFormat="false" ht="15" hidden="false" customHeight="true" outlineLevel="0" collapsed="false">
      <c r="B16" s="24" t="s">
        <v>1015</v>
      </c>
      <c r="C16" s="24"/>
      <c r="D16" s="24"/>
      <c r="E16" s="24"/>
      <c r="F16" s="24"/>
      <c r="G16" s="24"/>
      <c r="H16" s="24"/>
      <c r="I16" s="24"/>
      <c r="J16" s="24"/>
      <c r="K16" s="24"/>
      <c r="L16" s="24"/>
    </row>
    <row r="17" customFormat="false" ht="15" hidden="false" customHeight="true" outlineLevel="0" collapsed="false">
      <c r="B17" s="24" t="s">
        <v>1016</v>
      </c>
      <c r="C17" s="24"/>
      <c r="D17" s="24"/>
      <c r="E17" s="24"/>
      <c r="F17" s="24"/>
      <c r="G17" s="24"/>
      <c r="H17" s="24"/>
      <c r="I17" s="24"/>
      <c r="J17" s="24"/>
      <c r="K17" s="24"/>
      <c r="L17" s="24"/>
    </row>
    <row r="18" customFormat="false" ht="15" hidden="false" customHeight="true" outlineLevel="0" collapsed="false">
      <c r="B18" s="24" t="s">
        <v>1017</v>
      </c>
      <c r="C18" s="24"/>
      <c r="D18" s="24"/>
      <c r="E18" s="24"/>
      <c r="F18" s="24"/>
      <c r="G18" s="24"/>
      <c r="H18" s="24"/>
      <c r="I18" s="24"/>
      <c r="J18" s="24"/>
      <c r="K18" s="24"/>
      <c r="L18" s="24"/>
    </row>
    <row r="19" customFormat="false" ht="15" hidden="false" customHeight="true" outlineLevel="0" collapsed="false">
      <c r="B19" s="24" t="s">
        <v>1018</v>
      </c>
      <c r="C19" s="24"/>
      <c r="D19" s="24"/>
      <c r="E19" s="24"/>
      <c r="F19" s="24"/>
      <c r="G19" s="24"/>
      <c r="H19" s="24"/>
      <c r="I19" s="24"/>
      <c r="J19" s="24"/>
      <c r="K19" s="24"/>
      <c r="L19" s="24"/>
    </row>
    <row r="20" customFormat="false" ht="15" hidden="false" customHeight="true" outlineLevel="0" collapsed="false">
      <c r="B20" s="24" t="s">
        <v>1019</v>
      </c>
      <c r="C20" s="24"/>
      <c r="D20" s="24"/>
      <c r="E20" s="24"/>
      <c r="F20" s="24"/>
      <c r="G20" s="24"/>
      <c r="H20" s="24"/>
      <c r="I20" s="24"/>
      <c r="J20" s="24"/>
      <c r="K20" s="24"/>
      <c r="L20" s="24"/>
    </row>
    <row r="21" customFormat="false" ht="15" hidden="false" customHeight="true" outlineLevel="0" collapsed="false">
      <c r="B21" s="24" t="s">
        <v>1020</v>
      </c>
      <c r="C21" s="24"/>
      <c r="D21" s="24"/>
      <c r="E21" s="24"/>
      <c r="F21" s="24"/>
      <c r="G21" s="24"/>
      <c r="H21" s="24"/>
      <c r="I21" s="24"/>
      <c r="J21" s="24"/>
      <c r="K21" s="24"/>
      <c r="L21" s="24"/>
    </row>
    <row r="22" customFormat="false" ht="15" hidden="false" customHeight="true" outlineLevel="0" collapsed="false">
      <c r="B22" s="24" t="s">
        <v>1021</v>
      </c>
      <c r="C22" s="24"/>
      <c r="D22" s="24"/>
      <c r="E22" s="24"/>
      <c r="F22" s="24"/>
      <c r="G22" s="24"/>
      <c r="H22" s="24"/>
      <c r="I22" s="24"/>
      <c r="J22" s="24"/>
      <c r="K22" s="24"/>
      <c r="L22" s="24"/>
    </row>
    <row r="23" customFormat="false" ht="15" hidden="false" customHeight="true" outlineLevel="0" collapsed="false">
      <c r="B23" s="24" t="s">
        <v>1022</v>
      </c>
      <c r="C23" s="24"/>
      <c r="D23" s="24"/>
      <c r="E23" s="24"/>
      <c r="F23" s="24"/>
      <c r="G23" s="24"/>
      <c r="H23" s="24"/>
      <c r="I23" s="24"/>
      <c r="J23" s="24"/>
      <c r="K23" s="24"/>
      <c r="L23" s="24"/>
    </row>
    <row r="24" customFormat="false" ht="15" hidden="false" customHeight="true" outlineLevel="0" collapsed="false">
      <c r="B24" s="24" t="s">
        <v>1023</v>
      </c>
      <c r="C24" s="24"/>
      <c r="D24" s="24"/>
      <c r="E24" s="24"/>
      <c r="F24" s="24"/>
      <c r="G24" s="24"/>
      <c r="H24" s="24"/>
      <c r="I24" s="24"/>
      <c r="J24" s="24"/>
      <c r="K24" s="24"/>
      <c r="L24" s="24"/>
    </row>
    <row r="25" customFormat="false" ht="15" hidden="false" customHeight="true" outlineLevel="0" collapsed="false">
      <c r="B25" s="24" t="s">
        <v>1024</v>
      </c>
      <c r="C25" s="24"/>
      <c r="D25" s="24"/>
      <c r="E25" s="24"/>
      <c r="F25" s="24"/>
      <c r="G25" s="24"/>
      <c r="H25" s="24"/>
      <c r="I25" s="24"/>
      <c r="J25" s="24"/>
      <c r="K25" s="24"/>
      <c r="L25" s="24"/>
    </row>
    <row r="26" customFormat="false" ht="15" hidden="false" customHeight="true" outlineLevel="0" collapsed="false">
      <c r="B26" s="24" t="s">
        <v>1025</v>
      </c>
      <c r="C26" s="24"/>
      <c r="D26" s="24"/>
      <c r="E26" s="24"/>
      <c r="F26" s="24"/>
      <c r="G26" s="24"/>
      <c r="H26" s="24"/>
      <c r="I26" s="24"/>
      <c r="J26" s="24"/>
      <c r="K26" s="24"/>
      <c r="L26" s="24"/>
    </row>
    <row r="27" customFormat="false" ht="15" hidden="false" customHeight="true" outlineLevel="0" collapsed="false">
      <c r="B27" s="24" t="s">
        <v>1026</v>
      </c>
      <c r="C27" s="24"/>
      <c r="D27" s="24"/>
      <c r="E27" s="24"/>
      <c r="F27" s="24"/>
      <c r="G27" s="24"/>
      <c r="H27" s="24"/>
      <c r="I27" s="24"/>
      <c r="J27" s="24"/>
      <c r="K27" s="24"/>
      <c r="L27" s="24"/>
    </row>
    <row r="28" customFormat="false" ht="15" hidden="false" customHeight="true" outlineLevel="0" collapsed="false">
      <c r="B28" s="24" t="s">
        <v>1027</v>
      </c>
      <c r="C28" s="24"/>
      <c r="D28" s="24"/>
      <c r="E28" s="24"/>
      <c r="F28" s="24"/>
      <c r="G28" s="24"/>
      <c r="H28" s="24"/>
      <c r="I28" s="24"/>
      <c r="J28" s="24"/>
      <c r="K28" s="24"/>
      <c r="L28" s="24"/>
    </row>
    <row r="29" customFormat="false" ht="15" hidden="false" customHeight="true" outlineLevel="0" collapsed="false">
      <c r="B29" s="24" t="s">
        <v>1028</v>
      </c>
      <c r="C29" s="24"/>
      <c r="D29" s="24"/>
      <c r="E29" s="24"/>
      <c r="F29" s="24"/>
      <c r="G29" s="24"/>
      <c r="H29" s="24"/>
      <c r="I29" s="24"/>
      <c r="J29" s="24"/>
      <c r="K29" s="24"/>
      <c r="L29" s="24"/>
    </row>
  </sheetData>
  <autoFilter ref="B4:L29"/>
  <mergeCells count="1">
    <mergeCell ref="B2:K2"/>
  </mergeCells>
  <dataValidations count="1">
    <dataValidation allowBlank="true" errorStyle="stop" operator="between" prompt="Select risk level" promptTitle="Risk Level" showDropDown="false" showErrorMessage="false" showInputMessage="false" sqref="I5:I29"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3"/>
    <pageSetUpPr fitToPage="false"/>
  </sheetPr>
  <dimension ref="B2: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30"/>
    <col collapsed="false" customWidth="true" hidden="false" outlineLevel="0" max="4" min="4" style="1" width="25"/>
    <col collapsed="false" customWidth="true" hidden="false" outlineLevel="0" max="6" min="5" style="1" width="14"/>
    <col collapsed="false" customWidth="true" hidden="false" outlineLevel="0" max="7" min="7" style="1" width="25"/>
    <col collapsed="false" customWidth="true" hidden="false" outlineLevel="0" max="8" min="8" style="1" width="14"/>
  </cols>
  <sheetData>
    <row r="2" customFormat="false" ht="24" hidden="false" customHeight="true" outlineLevel="0" collapsed="false">
      <c r="B2" s="10" t="s">
        <v>1029</v>
      </c>
      <c r="C2" s="10"/>
      <c r="D2" s="10"/>
      <c r="E2" s="10"/>
      <c r="F2" s="10"/>
      <c r="G2" s="10"/>
      <c r="H2" s="10"/>
      <c r="I2" s="10"/>
      <c r="J2" s="10"/>
    </row>
    <row r="4" customFormat="false" ht="17.25" hidden="false" customHeight="true" outlineLevel="0" collapsed="false">
      <c r="B4" s="6" t="s">
        <v>1030</v>
      </c>
    </row>
    <row r="5" customFormat="false" ht="15" hidden="false" customHeight="true" outlineLevel="0" collapsed="false">
      <c r="B5" s="23" t="s">
        <v>1031</v>
      </c>
      <c r="C5" s="23" t="s">
        <v>1032</v>
      </c>
      <c r="D5" s="23" t="s">
        <v>1033</v>
      </c>
      <c r="E5" s="23" t="s">
        <v>1034</v>
      </c>
      <c r="F5" s="23" t="s">
        <v>56</v>
      </c>
      <c r="G5" s="23" t="s">
        <v>1035</v>
      </c>
      <c r="H5" s="23" t="s">
        <v>1003</v>
      </c>
    </row>
    <row r="6" customFormat="false" ht="27.75" hidden="false" customHeight="true" outlineLevel="0" collapsed="false">
      <c r="B6" s="24" t="s">
        <v>1036</v>
      </c>
      <c r="C6" s="24" t="s">
        <v>1037</v>
      </c>
      <c r="D6" s="24" t="s">
        <v>1038</v>
      </c>
      <c r="E6" s="24"/>
      <c r="F6" s="24"/>
      <c r="G6" s="24"/>
      <c r="H6" s="24"/>
    </row>
    <row r="7" customFormat="false" ht="27.75" hidden="false" customHeight="true" outlineLevel="0" collapsed="false">
      <c r="B7" s="24" t="s">
        <v>1039</v>
      </c>
      <c r="C7" s="24" t="s">
        <v>1040</v>
      </c>
      <c r="D7" s="24" t="s">
        <v>1041</v>
      </c>
      <c r="E7" s="24"/>
      <c r="F7" s="24"/>
      <c r="G7" s="24"/>
      <c r="H7" s="24"/>
    </row>
    <row r="8" customFormat="false" ht="27.75" hidden="false" customHeight="true" outlineLevel="0" collapsed="false">
      <c r="B8" s="24" t="s">
        <v>1042</v>
      </c>
      <c r="C8" s="24" t="s">
        <v>1043</v>
      </c>
      <c r="D8" s="24" t="s">
        <v>1044</v>
      </c>
      <c r="E8" s="24"/>
      <c r="F8" s="24"/>
      <c r="G8" s="24"/>
      <c r="H8" s="24"/>
    </row>
    <row r="9" customFormat="false" ht="15" hidden="false" customHeight="true" outlineLevel="0" collapsed="false">
      <c r="B9" s="24" t="s">
        <v>1045</v>
      </c>
      <c r="C9" s="24" t="s">
        <v>1046</v>
      </c>
      <c r="D9" s="24" t="s">
        <v>1047</v>
      </c>
      <c r="E9" s="24"/>
      <c r="F9" s="24"/>
      <c r="G9" s="24"/>
      <c r="H9" s="24"/>
    </row>
    <row r="10" customFormat="false" ht="27.75" hidden="false" customHeight="true" outlineLevel="0" collapsed="false">
      <c r="B10" s="24" t="s">
        <v>1048</v>
      </c>
      <c r="C10" s="24" t="s">
        <v>1049</v>
      </c>
      <c r="D10" s="24" t="s">
        <v>1050</v>
      </c>
      <c r="E10" s="24"/>
      <c r="F10" s="24"/>
      <c r="G10" s="24"/>
      <c r="H10" s="24"/>
    </row>
    <row r="11" customFormat="false" ht="27.75" hidden="false" customHeight="true" outlineLevel="0" collapsed="false">
      <c r="B11" s="24" t="s">
        <v>1051</v>
      </c>
      <c r="C11" s="24" t="s">
        <v>1052</v>
      </c>
      <c r="D11" s="24" t="s">
        <v>1053</v>
      </c>
      <c r="E11" s="24"/>
      <c r="F11" s="24"/>
      <c r="G11" s="24"/>
      <c r="H11" s="24"/>
    </row>
    <row r="12" customFormat="false" ht="27.75" hidden="false" customHeight="true" outlineLevel="0" collapsed="false">
      <c r="B12" s="24" t="s">
        <v>1054</v>
      </c>
      <c r="C12" s="24" t="s">
        <v>1055</v>
      </c>
      <c r="D12" s="24" t="s">
        <v>1056</v>
      </c>
      <c r="E12" s="24"/>
      <c r="F12" s="24"/>
      <c r="G12" s="24"/>
      <c r="H12" s="24"/>
    </row>
    <row r="13" customFormat="false" ht="15" hidden="false" customHeight="true" outlineLevel="0" collapsed="false">
      <c r="B13" s="24" t="s">
        <v>1057</v>
      </c>
      <c r="C13" s="24" t="s">
        <v>1058</v>
      </c>
      <c r="D13" s="24" t="s">
        <v>1059</v>
      </c>
      <c r="E13" s="24"/>
      <c r="F13" s="24"/>
      <c r="G13" s="24"/>
      <c r="H13" s="24"/>
    </row>
    <row r="14" customFormat="false" ht="27.75" hidden="false" customHeight="true" outlineLevel="0" collapsed="false">
      <c r="B14" s="24" t="s">
        <v>1060</v>
      </c>
      <c r="C14" s="24" t="s">
        <v>1061</v>
      </c>
      <c r="D14" s="24" t="s">
        <v>1062</v>
      </c>
      <c r="E14" s="24"/>
      <c r="F14" s="24"/>
      <c r="G14" s="24"/>
      <c r="H14" s="24"/>
    </row>
    <row r="15" customFormat="false" ht="27.75" hidden="false" customHeight="true" outlineLevel="0" collapsed="false">
      <c r="B15" s="24" t="s">
        <v>1063</v>
      </c>
      <c r="C15" s="24" t="s">
        <v>1064</v>
      </c>
      <c r="D15" s="24" t="s">
        <v>1065</v>
      </c>
      <c r="E15" s="24"/>
      <c r="F15" s="24"/>
      <c r="G15" s="24"/>
      <c r="H15" s="24"/>
    </row>
    <row r="16" customFormat="false" ht="27.75" hidden="false" customHeight="true" outlineLevel="0" collapsed="false">
      <c r="B16" s="24" t="s">
        <v>1066</v>
      </c>
      <c r="C16" s="24" t="s">
        <v>1067</v>
      </c>
      <c r="D16" s="24" t="s">
        <v>1068</v>
      </c>
      <c r="E16" s="24"/>
      <c r="F16" s="24"/>
      <c r="G16" s="24"/>
      <c r="H16" s="24"/>
    </row>
    <row r="17" customFormat="false" ht="27.75" hidden="false" customHeight="true" outlineLevel="0" collapsed="false">
      <c r="B17" s="24" t="s">
        <v>1069</v>
      </c>
      <c r="C17" s="24" t="s">
        <v>1070</v>
      </c>
      <c r="D17" s="24" t="s">
        <v>1071</v>
      </c>
      <c r="E17" s="24"/>
      <c r="F17" s="24"/>
      <c r="G17" s="24"/>
      <c r="H17" s="24"/>
    </row>
    <row r="20" customFormat="false" ht="17.25" hidden="false" customHeight="true" outlineLevel="0" collapsed="false">
      <c r="B20" s="6" t="s">
        <v>1072</v>
      </c>
    </row>
    <row r="21" customFormat="false" ht="15" hidden="false" customHeight="true" outlineLevel="0" collapsed="false">
      <c r="B21" s="23" t="s">
        <v>1073</v>
      </c>
      <c r="C21" s="23" t="s">
        <v>1074</v>
      </c>
      <c r="D21" s="23" t="s">
        <v>1075</v>
      </c>
      <c r="E21" s="23" t="s">
        <v>1076</v>
      </c>
      <c r="F21" s="23" t="s">
        <v>56</v>
      </c>
      <c r="G21" s="23" t="s">
        <v>1077</v>
      </c>
      <c r="H21" s="23" t="s">
        <v>124</v>
      </c>
    </row>
    <row r="22" customFormat="false" ht="15" hidden="false" customHeight="true" outlineLevel="0" collapsed="false">
      <c r="B22" s="24" t="s">
        <v>1078</v>
      </c>
      <c r="C22" s="24" t="s">
        <v>1079</v>
      </c>
      <c r="D22" s="24" t="s">
        <v>1080</v>
      </c>
      <c r="E22" s="24"/>
      <c r="F22" s="24"/>
      <c r="G22" s="24"/>
      <c r="H22" s="24"/>
    </row>
    <row r="23" customFormat="false" ht="15" hidden="false" customHeight="true" outlineLevel="0" collapsed="false">
      <c r="B23" s="24" t="s">
        <v>1081</v>
      </c>
      <c r="C23" s="24" t="s">
        <v>1082</v>
      </c>
      <c r="D23" s="24" t="s">
        <v>1083</v>
      </c>
      <c r="E23" s="24"/>
      <c r="F23" s="24"/>
      <c r="G23" s="24"/>
      <c r="H23" s="24"/>
    </row>
    <row r="24" customFormat="false" ht="15" hidden="false" customHeight="true" outlineLevel="0" collapsed="false">
      <c r="B24" s="24" t="s">
        <v>1084</v>
      </c>
      <c r="C24" s="24" t="s">
        <v>1085</v>
      </c>
      <c r="D24" s="24" t="s">
        <v>1086</v>
      </c>
      <c r="E24" s="24"/>
      <c r="F24" s="24"/>
      <c r="G24" s="24"/>
      <c r="H24" s="24"/>
    </row>
    <row r="25" customFormat="false" ht="15" hidden="false" customHeight="true" outlineLevel="0" collapsed="false">
      <c r="B25" s="24" t="s">
        <v>1087</v>
      </c>
      <c r="C25" s="24" t="s">
        <v>1088</v>
      </c>
      <c r="D25" s="24" t="s">
        <v>1089</v>
      </c>
      <c r="E25" s="24"/>
      <c r="F25" s="24"/>
      <c r="G25" s="24"/>
      <c r="H25" s="24"/>
    </row>
    <row r="26" customFormat="false" ht="15" hidden="false" customHeight="true" outlineLevel="0" collapsed="false">
      <c r="B26" s="24" t="s">
        <v>1090</v>
      </c>
      <c r="C26" s="24" t="s">
        <v>1091</v>
      </c>
      <c r="D26" s="24" t="s">
        <v>1092</v>
      </c>
      <c r="E26" s="24"/>
      <c r="F26" s="24"/>
      <c r="G26" s="24"/>
      <c r="H26" s="24"/>
    </row>
    <row r="27" customFormat="false" ht="15" hidden="false" customHeight="true" outlineLevel="0" collapsed="false">
      <c r="B27" s="24" t="s">
        <v>1093</v>
      </c>
      <c r="C27" s="24" t="s">
        <v>1094</v>
      </c>
      <c r="D27" s="24" t="s">
        <v>1092</v>
      </c>
      <c r="E27" s="24"/>
      <c r="F27" s="24"/>
      <c r="G27" s="24"/>
      <c r="H27" s="24"/>
    </row>
    <row r="28" customFormat="false" ht="27.75" hidden="false" customHeight="true" outlineLevel="0" collapsed="false">
      <c r="B28" s="24" t="s">
        <v>1095</v>
      </c>
      <c r="C28" s="24" t="s">
        <v>1096</v>
      </c>
      <c r="D28" s="24" t="s">
        <v>1092</v>
      </c>
      <c r="E28" s="24"/>
      <c r="F28" s="24"/>
      <c r="G28" s="24"/>
      <c r="H28" s="24"/>
    </row>
    <row r="29" customFormat="false" ht="15" hidden="false" customHeight="true" outlineLevel="0" collapsed="false">
      <c r="B29" s="24" t="s">
        <v>1097</v>
      </c>
      <c r="C29" s="24" t="s">
        <v>1098</v>
      </c>
      <c r="D29" s="24" t="s">
        <v>1099</v>
      </c>
      <c r="E29" s="24"/>
      <c r="F29" s="24"/>
      <c r="G29" s="24"/>
      <c r="H29" s="24"/>
    </row>
    <row r="30" customFormat="false" ht="15" hidden="false" customHeight="true" outlineLevel="0" collapsed="false">
      <c r="B30" s="24" t="s">
        <v>1100</v>
      </c>
      <c r="C30" s="24" t="s">
        <v>1101</v>
      </c>
      <c r="D30" s="24" t="s">
        <v>1092</v>
      </c>
      <c r="E30" s="24"/>
      <c r="F30" s="24"/>
      <c r="G30" s="24"/>
      <c r="H30" s="24"/>
    </row>
    <row r="31" customFormat="false" ht="27.75" hidden="false" customHeight="true" outlineLevel="0" collapsed="false">
      <c r="B31" s="24" t="s">
        <v>1102</v>
      </c>
      <c r="C31" s="24" t="s">
        <v>1103</v>
      </c>
      <c r="D31" s="24" t="s">
        <v>1104</v>
      </c>
      <c r="E31" s="24"/>
      <c r="F31" s="24"/>
      <c r="G31" s="24"/>
      <c r="H31" s="24"/>
    </row>
  </sheetData>
  <mergeCells count="1">
    <mergeCell ref="B2:J2"/>
  </mergeCells>
  <dataValidations count="2">
    <dataValidation allowBlank="true" errorStyle="stop" operator="between" prompt="Select status" promptTitle="Status" showDropDown="false" showErrorMessage="false" showInputMessage="false" sqref="F6:F17" type="list">
      <formula1>""not started,in progress,complete,verified,overdue""</formula1>
      <formula2>0</formula2>
    </dataValidation>
    <dataValidation allowBlank="true" errorStyle="stop" operator="between" prompt="Select status" promptTitle="Status" showDropDown="false" showErrorMessage="false" showInputMessage="false" sqref="F22:F31" type="list">
      <formula1>""on target,below target,critical,not measured""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1F3B"/>
    <pageSetUpPr fitToPage="false"/>
  </sheetPr>
  <dimension ref="B2: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4" min="2" style="1" width="25"/>
    <col collapsed="false" customWidth="true" hidden="false" outlineLevel="0" max="6" min="5" style="1" width="20"/>
    <col collapsed="false" customWidth="true" hidden="false" outlineLevel="0" max="7" min="7" style="1" width="25"/>
  </cols>
  <sheetData>
    <row r="2" customFormat="false" ht="24" hidden="false" customHeight="true" outlineLevel="0" collapsed="false">
      <c r="B2" s="10" t="s">
        <v>1105</v>
      </c>
      <c r="C2" s="10"/>
      <c r="D2" s="10"/>
      <c r="E2" s="10"/>
      <c r="F2" s="10"/>
      <c r="G2" s="10"/>
    </row>
    <row r="4" customFormat="false" ht="15" hidden="false" customHeight="true" outlineLevel="0" collapsed="false">
      <c r="B4" s="23" t="s">
        <v>59</v>
      </c>
      <c r="C4" s="23" t="s">
        <v>1106</v>
      </c>
      <c r="D4" s="23" t="s">
        <v>1107</v>
      </c>
      <c r="E4" s="23" t="s">
        <v>1108</v>
      </c>
      <c r="F4" s="23" t="s">
        <v>1109</v>
      </c>
      <c r="G4" s="23" t="s">
        <v>124</v>
      </c>
    </row>
    <row r="5" customFormat="false" ht="27.75" hidden="false" customHeight="true" outlineLevel="0" collapsed="false">
      <c r="B5" s="24" t="s">
        <v>62</v>
      </c>
      <c r="C5" s="24" t="s">
        <v>1110</v>
      </c>
      <c r="D5" s="24" t="s">
        <v>1111</v>
      </c>
      <c r="E5" s="24" t="s">
        <v>1112</v>
      </c>
      <c r="F5" s="24" t="s">
        <v>1113</v>
      </c>
      <c r="G5" s="24"/>
    </row>
    <row r="6" customFormat="false" ht="27.75" hidden="false" customHeight="true" outlineLevel="0" collapsed="false">
      <c r="B6" s="24" t="s">
        <v>64</v>
      </c>
      <c r="C6" s="24" t="s">
        <v>1114</v>
      </c>
      <c r="D6" s="24" t="s">
        <v>1115</v>
      </c>
      <c r="E6" s="24" t="s">
        <v>1116</v>
      </c>
      <c r="F6" s="24" t="s">
        <v>1117</v>
      </c>
      <c r="G6" s="24"/>
    </row>
    <row r="7" customFormat="false" ht="27.75" hidden="false" customHeight="true" outlineLevel="0" collapsed="false">
      <c r="B7" s="24" t="s">
        <v>66</v>
      </c>
      <c r="C7" s="24" t="s">
        <v>1118</v>
      </c>
      <c r="D7" s="24" t="s">
        <v>1119</v>
      </c>
      <c r="E7" s="24" t="s">
        <v>1120</v>
      </c>
      <c r="F7" s="24" t="s">
        <v>1121</v>
      </c>
      <c r="G7" s="24"/>
    </row>
    <row r="8" customFormat="false" ht="27.75" hidden="false" customHeight="true" outlineLevel="0" collapsed="false">
      <c r="B8" s="24" t="s">
        <v>67</v>
      </c>
      <c r="C8" s="24" t="s">
        <v>1122</v>
      </c>
      <c r="D8" s="24" t="s">
        <v>1123</v>
      </c>
      <c r="E8" s="24" t="s">
        <v>1124</v>
      </c>
      <c r="F8" s="24" t="s">
        <v>1125</v>
      </c>
      <c r="G8" s="24"/>
    </row>
    <row r="9" customFormat="false" ht="15" hidden="false" customHeight="true" outlineLevel="0" collapsed="false">
      <c r="B9" s="24" t="s">
        <v>276</v>
      </c>
      <c r="C9" s="24" t="s">
        <v>1126</v>
      </c>
      <c r="D9" s="24" t="s">
        <v>1127</v>
      </c>
      <c r="E9" s="24" t="s">
        <v>1128</v>
      </c>
      <c r="F9" s="24" t="s">
        <v>1128</v>
      </c>
      <c r="G9" s="24"/>
    </row>
    <row r="10" customFormat="false" ht="27.75" hidden="false" customHeight="true" outlineLevel="0" collapsed="false">
      <c r="B10" s="24" t="s">
        <v>70</v>
      </c>
      <c r="C10" s="24" t="s">
        <v>1129</v>
      </c>
      <c r="D10" s="24" t="s">
        <v>1130</v>
      </c>
      <c r="E10" s="24" t="s">
        <v>1131</v>
      </c>
      <c r="F10" s="24" t="s">
        <v>1132</v>
      </c>
      <c r="G10" s="24"/>
    </row>
    <row r="11" customFormat="false" ht="15" hidden="false" customHeight="true" outlineLevel="0" collapsed="false">
      <c r="B11" s="24" t="s">
        <v>72</v>
      </c>
      <c r="C11" s="24" t="s">
        <v>1133</v>
      </c>
      <c r="D11" s="24" t="s">
        <v>1134</v>
      </c>
      <c r="E11" s="24" t="s">
        <v>1135</v>
      </c>
      <c r="F11" s="24" t="s">
        <v>1136</v>
      </c>
      <c r="G11" s="24"/>
    </row>
    <row r="12" customFormat="false" ht="15" hidden="false" customHeight="true" outlineLevel="0" collapsed="false">
      <c r="B12" s="24" t="s">
        <v>1137</v>
      </c>
      <c r="C12" s="24" t="s">
        <v>1138</v>
      </c>
      <c r="D12" s="24" t="s">
        <v>1139</v>
      </c>
      <c r="E12" s="24" t="s">
        <v>1140</v>
      </c>
      <c r="F12" s="24" t="s">
        <v>1141</v>
      </c>
      <c r="G12" s="24"/>
    </row>
    <row r="13" customFormat="false" ht="27.75" hidden="false" customHeight="true" outlineLevel="0" collapsed="false">
      <c r="B13" s="24" t="s">
        <v>1142</v>
      </c>
      <c r="C13" s="24" t="s">
        <v>1143</v>
      </c>
      <c r="D13" s="24" t="s">
        <v>1144</v>
      </c>
      <c r="E13" s="24" t="s">
        <v>1145</v>
      </c>
      <c r="F13" s="24" t="s">
        <v>1128</v>
      </c>
      <c r="G13" s="24"/>
    </row>
    <row r="14" customFormat="false" ht="15" hidden="false" customHeight="true" outlineLevel="0" collapsed="false">
      <c r="B14" s="24" t="s">
        <v>75</v>
      </c>
      <c r="C14" s="24" t="s">
        <v>1146</v>
      </c>
      <c r="D14" s="24" t="s">
        <v>1147</v>
      </c>
      <c r="E14" s="24" t="s">
        <v>1148</v>
      </c>
      <c r="F14" s="24" t="s">
        <v>1149</v>
      </c>
      <c r="G14" s="24"/>
    </row>
    <row r="15" customFormat="false" ht="15" hidden="false" customHeight="true" outlineLevel="0" collapsed="false">
      <c r="B15" s="24" t="s">
        <v>76</v>
      </c>
      <c r="C15" s="24" t="s">
        <v>1150</v>
      </c>
      <c r="D15" s="24" t="s">
        <v>1151</v>
      </c>
      <c r="E15" s="24" t="s">
        <v>1128</v>
      </c>
      <c r="F15" s="24" t="s">
        <v>1152</v>
      </c>
      <c r="G15" s="24"/>
    </row>
    <row r="16" customFormat="false" ht="27.75" hidden="false" customHeight="true" outlineLevel="0" collapsed="false">
      <c r="B16" s="24" t="s">
        <v>1153</v>
      </c>
      <c r="C16" s="24" t="s">
        <v>1154</v>
      </c>
      <c r="D16" s="24" t="s">
        <v>1155</v>
      </c>
      <c r="E16" s="24" t="s">
        <v>1156</v>
      </c>
      <c r="F16" s="24" t="s">
        <v>1157</v>
      </c>
      <c r="G16" s="24"/>
    </row>
    <row r="17" customFormat="false" ht="27.75" hidden="false" customHeight="true" outlineLevel="0" collapsed="false">
      <c r="B17" s="24" t="s">
        <v>525</v>
      </c>
      <c r="C17" s="24" t="s">
        <v>1158</v>
      </c>
      <c r="D17" s="24" t="s">
        <v>1159</v>
      </c>
      <c r="E17" s="24" t="s">
        <v>1160</v>
      </c>
      <c r="F17" s="24" t="s">
        <v>1161</v>
      </c>
      <c r="G17" s="24"/>
    </row>
    <row r="18" customFormat="false" ht="27.75" hidden="false" customHeight="true" outlineLevel="0" collapsed="false">
      <c r="B18" s="24" t="s">
        <v>550</v>
      </c>
      <c r="C18" s="24" t="s">
        <v>1162</v>
      </c>
      <c r="D18" s="24" t="s">
        <v>1163</v>
      </c>
      <c r="E18" s="24" t="s">
        <v>1164</v>
      </c>
      <c r="F18" s="24" t="s">
        <v>1165</v>
      </c>
      <c r="G18" s="24"/>
    </row>
    <row r="19" customFormat="false" ht="28.35" hidden="false" customHeight="false" outlineLevel="0" collapsed="false">
      <c r="B19" s="24" t="s">
        <v>157</v>
      </c>
      <c r="C19" s="24" t="s">
        <v>1166</v>
      </c>
      <c r="D19" s="24" t="s">
        <v>1167</v>
      </c>
      <c r="E19" s="24" t="s">
        <v>1168</v>
      </c>
      <c r="F19" s="24" t="s">
        <v>1169</v>
      </c>
      <c r="G19" s="24"/>
    </row>
    <row r="20" customFormat="false" ht="15" hidden="false" customHeight="false" outlineLevel="0" collapsed="false">
      <c r="B20" s="24" t="s">
        <v>1170</v>
      </c>
      <c r="C20" s="24" t="s">
        <v>1171</v>
      </c>
      <c r="D20" s="24" t="s">
        <v>1172</v>
      </c>
      <c r="E20" s="24" t="s">
        <v>1173</v>
      </c>
      <c r="F20" s="24" t="s">
        <v>1174</v>
      </c>
      <c r="G20" s="24"/>
    </row>
    <row r="21" customFormat="false" ht="15" hidden="false" customHeight="false" outlineLevel="0" collapsed="false">
      <c r="B21" s="24" t="s">
        <v>702</v>
      </c>
      <c r="C21" s="24" t="s">
        <v>1175</v>
      </c>
      <c r="D21" s="24" t="s">
        <v>1147</v>
      </c>
      <c r="E21" s="24" t="s">
        <v>1176</v>
      </c>
      <c r="F21" s="24" t="s">
        <v>1149</v>
      </c>
      <c r="G21" s="24"/>
    </row>
    <row r="22" customFormat="false" ht="28.35" hidden="false" customHeight="false" outlineLevel="0" collapsed="false">
      <c r="B22" s="24" t="s">
        <v>719</v>
      </c>
      <c r="C22" s="24" t="s">
        <v>1177</v>
      </c>
      <c r="D22" s="24" t="s">
        <v>1178</v>
      </c>
      <c r="E22" s="24" t="s">
        <v>1128</v>
      </c>
      <c r="F22" s="24" t="s">
        <v>1179</v>
      </c>
      <c r="G22" s="24"/>
    </row>
  </sheetData>
  <mergeCells count="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7F83"/>
    <pageSetUpPr fitToPage="false"/>
  </sheetPr>
  <dimension ref="B1:O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s>
  <sheetData>
    <row r="1" customFormat="false" ht="15" hidden="false" customHeight="true" outlineLevel="0" collapsed="false">
      <c r="B1" s="45" t="s">
        <v>1180</v>
      </c>
      <c r="C1" s="45" t="s">
        <v>1181</v>
      </c>
      <c r="E1" s="45" t="s">
        <v>1182</v>
      </c>
      <c r="F1" s="45" t="s">
        <v>1183</v>
      </c>
      <c r="H1" s="45" t="s">
        <v>1184</v>
      </c>
      <c r="I1" s="45" t="s">
        <v>1185</v>
      </c>
      <c r="K1" s="45" t="s">
        <v>1186</v>
      </c>
      <c r="L1" s="45" t="s">
        <v>1187</v>
      </c>
      <c r="N1" s="45" t="s">
        <v>1188</v>
      </c>
      <c r="O1" s="45" t="s">
        <v>1189</v>
      </c>
    </row>
    <row r="2" customFormat="false" ht="15" hidden="false" customHeight="true" outlineLevel="0" collapsed="false">
      <c r="B2" s="1" t="s">
        <v>61</v>
      </c>
      <c r="C2" s="1" t="s">
        <v>61</v>
      </c>
      <c r="D2" s="1" t="n">
        <v>1</v>
      </c>
      <c r="E2" s="1" t="s">
        <v>82</v>
      </c>
      <c r="F2" s="1" t="s">
        <v>82</v>
      </c>
      <c r="G2" s="1" t="n">
        <v>5</v>
      </c>
      <c r="H2" s="1" t="s">
        <v>1190</v>
      </c>
      <c r="I2" s="1" t="s">
        <v>1190</v>
      </c>
      <c r="J2" s="1" t="n">
        <v>5</v>
      </c>
      <c r="K2" s="1" t="s">
        <v>126</v>
      </c>
      <c r="L2" s="1" t="s">
        <v>62</v>
      </c>
      <c r="N2" s="1" t="s">
        <v>83</v>
      </c>
      <c r="O2" s="1" t="s">
        <v>1191</v>
      </c>
    </row>
    <row r="3" customFormat="false" ht="15" hidden="false" customHeight="true" outlineLevel="0" collapsed="false">
      <c r="B3" s="1" t="s">
        <v>63</v>
      </c>
      <c r="C3" s="1" t="s">
        <v>63</v>
      </c>
      <c r="D3" s="1" t="n">
        <v>0.5</v>
      </c>
      <c r="E3" s="1" t="s">
        <v>84</v>
      </c>
      <c r="F3" s="1" t="s">
        <v>84</v>
      </c>
      <c r="G3" s="1" t="n">
        <v>4</v>
      </c>
      <c r="H3" s="1" t="s">
        <v>1192</v>
      </c>
      <c r="I3" s="1" t="s">
        <v>1192</v>
      </c>
      <c r="J3" s="1" t="n">
        <v>4</v>
      </c>
      <c r="K3" s="1" t="s">
        <v>1193</v>
      </c>
      <c r="L3" s="1" t="s">
        <v>64</v>
      </c>
      <c r="N3" s="1" t="s">
        <v>85</v>
      </c>
      <c r="O3" s="1" t="s">
        <v>1194</v>
      </c>
    </row>
    <row r="4" customFormat="false" ht="15" hidden="false" customHeight="true" outlineLevel="0" collapsed="false">
      <c r="B4" s="1" t="s">
        <v>65</v>
      </c>
      <c r="C4" s="1" t="s">
        <v>65</v>
      </c>
      <c r="D4" s="1" t="n">
        <v>0</v>
      </c>
      <c r="E4" s="1" t="s">
        <v>86</v>
      </c>
      <c r="F4" s="1" t="s">
        <v>86</v>
      </c>
      <c r="G4" s="1" t="n">
        <v>3</v>
      </c>
      <c r="H4" s="1" t="s">
        <v>1195</v>
      </c>
      <c r="I4" s="1" t="s">
        <v>1195</v>
      </c>
      <c r="J4" s="1" t="n">
        <v>3</v>
      </c>
      <c r="K4" s="1" t="s">
        <v>1196</v>
      </c>
      <c r="L4" s="1" t="s">
        <v>66</v>
      </c>
      <c r="N4" s="1" t="s">
        <v>87</v>
      </c>
      <c r="O4" s="1" t="s">
        <v>1197</v>
      </c>
    </row>
    <row r="5" customFormat="false" ht="15" hidden="false" customHeight="true" outlineLevel="0" collapsed="false">
      <c r="B5" s="1" t="s">
        <v>43</v>
      </c>
      <c r="C5" s="1" t="s">
        <v>43</v>
      </c>
      <c r="D5" s="1" t="s">
        <v>1198</v>
      </c>
      <c r="E5" s="1" t="s">
        <v>88</v>
      </c>
      <c r="F5" s="1" t="s">
        <v>88</v>
      </c>
      <c r="G5" s="1" t="n">
        <v>2</v>
      </c>
      <c r="H5" s="1" t="s">
        <v>1199</v>
      </c>
      <c r="I5" s="1" t="s">
        <v>1199</v>
      </c>
      <c r="J5" s="1" t="n">
        <v>2</v>
      </c>
      <c r="K5" s="1" t="s">
        <v>1200</v>
      </c>
      <c r="L5" s="1" t="s">
        <v>67</v>
      </c>
      <c r="N5" s="1" t="s">
        <v>89</v>
      </c>
    </row>
    <row r="6" customFormat="false" ht="15" hidden="false" customHeight="true" outlineLevel="0" collapsed="false">
      <c r="H6" s="1" t="s">
        <v>1201</v>
      </c>
      <c r="I6" s="1" t="s">
        <v>1201</v>
      </c>
      <c r="J6" s="1" t="n">
        <v>1</v>
      </c>
      <c r="L6" s="1" t="s">
        <v>69</v>
      </c>
      <c r="N6" s="1" t="s">
        <v>90</v>
      </c>
    </row>
    <row r="7" customFormat="false" ht="15" hidden="false" customHeight="true" outlineLevel="0" collapsed="false">
      <c r="L7" s="1" t="s">
        <v>70</v>
      </c>
    </row>
    <row r="8" customFormat="false" ht="15" hidden="false" customHeight="true" outlineLevel="0" collapsed="false">
      <c r="L8" s="1" t="s">
        <v>71</v>
      </c>
    </row>
    <row r="9" customFormat="false" ht="15" hidden="false" customHeight="true" outlineLevel="0" collapsed="false">
      <c r="L9" s="1" t="s">
        <v>72</v>
      </c>
    </row>
    <row r="10" customFormat="false" ht="15" hidden="false" customHeight="true" outlineLevel="0" collapsed="false">
      <c r="L10" s="1" t="s">
        <v>73</v>
      </c>
    </row>
    <row r="11" customFormat="false" ht="15" hidden="false" customHeight="true" outlineLevel="0" collapsed="false">
      <c r="L11" s="1" t="s">
        <v>74</v>
      </c>
    </row>
    <row r="12" customFormat="false" ht="15" hidden="false" customHeight="true" outlineLevel="0" collapsed="false">
      <c r="L12" s="1" t="s">
        <v>75</v>
      </c>
    </row>
    <row r="13" customFormat="false" ht="15" hidden="false" customHeight="true" outlineLevel="0" collapsed="false">
      <c r="L13" s="1" t="s">
        <v>76</v>
      </c>
    </row>
    <row r="14" customFormat="false" ht="15" hidden="false" customHeight="true" outlineLevel="0" collapsed="false">
      <c r="L14" s="1" t="s">
        <v>500</v>
      </c>
    </row>
    <row r="15" customFormat="false" ht="15" hidden="false" customHeight="true" outlineLevel="0" collapsed="false">
      <c r="L15" s="1" t="s">
        <v>525</v>
      </c>
    </row>
    <row r="16" customFormat="false" ht="15" hidden="false" customHeight="true" outlineLevel="0" collapsed="false">
      <c r="L16" s="1" t="s">
        <v>550</v>
      </c>
    </row>
    <row r="17" customFormat="false" ht="15" hidden="false" customHeight="true" outlineLevel="0" collapsed="false">
      <c r="L17" s="1" t="s">
        <v>571</v>
      </c>
    </row>
    <row r="18" customFormat="false" ht="15" hidden="false" customHeight="true" outlineLevel="0" collapsed="false">
      <c r="L18" s="1" t="s">
        <v>592</v>
      </c>
    </row>
    <row r="19" customFormat="false" ht="15" hidden="false" customHeight="true" outlineLevel="0" collapsed="false">
      <c r="L19" s="1" t="s">
        <v>613</v>
      </c>
    </row>
    <row r="20" customFormat="false" ht="15" hidden="false" customHeight="true" outlineLevel="0" collapsed="false">
      <c r="L20" s="1" t="s">
        <v>633</v>
      </c>
    </row>
    <row r="21" customFormat="false" ht="15" hidden="false" customHeight="true" outlineLevel="0" collapsed="false">
      <c r="L21" s="1" t="s">
        <v>649</v>
      </c>
    </row>
    <row r="22" customFormat="false" ht="15" hidden="false" customHeight="false" outlineLevel="0" collapsed="false">
      <c r="L22" s="1" t="s">
        <v>157</v>
      </c>
    </row>
    <row r="23" customFormat="false" ht="15" hidden="false" customHeight="false" outlineLevel="0" collapsed="false">
      <c r="L23" s="1" t="s">
        <v>685</v>
      </c>
    </row>
    <row r="24" customFormat="false" ht="15" hidden="false" customHeight="false" outlineLevel="0" collapsed="false">
      <c r="L24" s="1" t="s">
        <v>702</v>
      </c>
    </row>
    <row r="25" customFormat="false" ht="15" hidden="false" customHeight="false" outlineLevel="0" collapsed="false">
      <c r="L25" s="1" t="s">
        <v>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71F3B"/>
    <pageSetUpPr fitToPage="false"/>
  </sheetPr>
  <dimension ref="B2: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90"/>
  </cols>
  <sheetData>
    <row r="2" customFormat="false" ht="24" hidden="false" customHeight="true" outlineLevel="0" collapsed="false">
      <c r="B2" s="46" t="s">
        <v>1202</v>
      </c>
    </row>
    <row r="4" customFormat="false" ht="17.25" hidden="false" customHeight="true" outlineLevel="0" collapsed="false">
      <c r="B4" s="6" t="s">
        <v>1203</v>
      </c>
    </row>
    <row r="5" customFormat="false" ht="19.5" hidden="false" customHeight="true" outlineLevel="0" collapsed="false">
      <c r="B5" s="7" t="s">
        <v>1204</v>
      </c>
    </row>
    <row r="6" customFormat="false" ht="19.5" hidden="false" customHeight="true" outlineLevel="0" collapsed="false">
      <c r="B6" s="7" t="s">
        <v>1205</v>
      </c>
    </row>
    <row r="7" customFormat="false" ht="19.5" hidden="false" customHeight="true" outlineLevel="0" collapsed="false">
      <c r="B7" s="7" t="s">
        <v>1206</v>
      </c>
    </row>
    <row r="8" customFormat="false" ht="19.5" hidden="false" customHeight="true" outlineLevel="0" collapsed="false">
      <c r="B8" s="7" t="s">
        <v>1207</v>
      </c>
    </row>
    <row r="10" customFormat="false" ht="17.25" hidden="false" customHeight="true" outlineLevel="0" collapsed="false">
      <c r="B10" s="6" t="s">
        <v>31</v>
      </c>
    </row>
    <row r="11" customFormat="false" ht="199.5" hidden="false" customHeight="true" outlineLevel="0" collapsed="false">
      <c r="B11" s="7" t="s">
        <v>1208</v>
      </c>
    </row>
    <row r="14" customFormat="false" ht="15" hidden="false" customHeight="true" outlineLevel="0" collapsed="false">
      <c r="B14" s="47" t="s">
        <v>1209</v>
      </c>
    </row>
    <row r="15" customFormat="false" ht="15" hidden="false" customHeight="true" outlineLevel="0" collapsed="false">
      <c r="B15" s="47" t="s">
        <v>1210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2026-10-07T00:15:48Z</dcterms:created>
  <dc:creator>openpyxl</dc:creator>
  <dc:description/>
  <dc:language>en-US</dc:language>
  <cp:lastModifiedBy/>
  <dcterms:modified xsi:type="dcterms:W3CDTF">2026-10-07T00:24:45Z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